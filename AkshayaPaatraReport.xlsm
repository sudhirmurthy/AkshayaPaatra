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20" windowWidth="20115" windowHeight="7995" tabRatio="523"/>
  </bookViews>
  <sheets>
    <sheet name="1-7Report" sheetId="2" r:id="rId1"/>
    <sheet name="8-10Report" sheetId="3" r:id="rId2"/>
    <sheet name="cons-Report" sheetId="7" r:id="rId3"/>
    <sheet name="reportdata" sheetId="6" r:id="rId4"/>
    <sheet name="masterdata" sheetId="4" r:id="rId5"/>
  </sheets>
  <functionGroups/>
  <definedNames>
    <definedName name="NGO_School_UC_Format_2014_08_26" localSheetId="4" hidden="1">masterdata!$A$2:$BY$15</definedName>
    <definedName name="_xlnm.Print_Area" localSheetId="0">'1-7Report'!$B$4:$L$44</definedName>
    <definedName name="_xlnm.Print_Area" localSheetId="1">'8-10Report'!$B$4:$L$44</definedName>
    <definedName name="_xlnm.Print_Area" localSheetId="2">'cons-Report'!$B$2:$I$8</definedName>
  </definedNames>
  <calcPr calcId="124519"/>
</workbook>
</file>

<file path=xl/calcChain.xml><?xml version="1.0" encoding="utf-8"?>
<calcChain xmlns="http://schemas.openxmlformats.org/spreadsheetml/2006/main">
  <c r="B2" i="7"/>
  <c r="H8"/>
  <c r="I8"/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12"/>
  <c r="B6"/>
  <c r="H6"/>
  <c r="C13" i="2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12"/>
  <c r="E7" i="7" l="1"/>
  <c r="E6"/>
  <c r="E5"/>
  <c r="E4"/>
  <c r="K40" i="3"/>
  <c r="I21"/>
  <c r="I42"/>
  <c r="I8"/>
  <c r="I30"/>
  <c r="I14"/>
  <c r="I8" i="2"/>
  <c r="I15" i="3"/>
  <c r="K16"/>
  <c r="I19"/>
  <c r="J41"/>
  <c r="J26"/>
  <c r="J30"/>
  <c r="J34"/>
  <c r="J38"/>
  <c r="J39"/>
  <c r="I40"/>
  <c r="I12"/>
  <c r="K13"/>
  <c r="I16"/>
  <c r="K17"/>
  <c r="I24"/>
  <c r="K25"/>
  <c r="K29"/>
  <c r="I32"/>
  <c r="K33"/>
  <c r="K37"/>
  <c r="J17"/>
  <c r="K22"/>
  <c r="I25"/>
  <c r="K26"/>
  <c r="I29"/>
  <c r="K30"/>
  <c r="K34"/>
  <c r="I37"/>
  <c r="K38"/>
  <c r="J25"/>
  <c r="K36"/>
  <c r="I39"/>
  <c r="J33"/>
  <c r="I13"/>
  <c r="K14"/>
  <c r="K18"/>
  <c r="I26"/>
  <c r="K31"/>
  <c r="I34"/>
  <c r="K41"/>
  <c r="J14"/>
  <c r="J18"/>
  <c r="K20"/>
  <c r="J23"/>
  <c r="J27"/>
  <c r="J31"/>
  <c r="I18"/>
  <c r="J20"/>
  <c r="K24"/>
  <c r="I31"/>
  <c r="I35"/>
  <c r="J37"/>
  <c r="J42"/>
  <c r="J15"/>
  <c r="J24"/>
  <c r="J28"/>
  <c r="J36"/>
  <c r="K15"/>
  <c r="I23"/>
  <c r="I27"/>
  <c r="J29"/>
  <c r="K32"/>
  <c r="E43"/>
  <c r="G6" i="7" s="1"/>
  <c r="J13" i="3"/>
  <c r="J21"/>
  <c r="I38"/>
  <c r="I28"/>
  <c r="I17"/>
  <c r="G43"/>
  <c r="K28"/>
  <c r="I41"/>
  <c r="K19"/>
  <c r="J22"/>
  <c r="K23"/>
  <c r="K35"/>
  <c r="J16"/>
  <c r="I33"/>
  <c r="K39"/>
  <c r="K42"/>
  <c r="F43"/>
  <c r="D7" i="7" s="1"/>
  <c r="J32" i="3"/>
  <c r="J35"/>
  <c r="H43"/>
  <c r="G7" i="7" s="1"/>
  <c r="I20" i="3"/>
  <c r="K21"/>
  <c r="I22"/>
  <c r="K27"/>
  <c r="I36"/>
  <c r="J40"/>
  <c r="D43"/>
  <c r="J19"/>
  <c r="K12"/>
  <c r="J12"/>
  <c r="C43"/>
  <c r="D6" i="7" s="1"/>
  <c r="K36" i="2"/>
  <c r="I35"/>
  <c r="K18"/>
  <c r="I30"/>
  <c r="I36"/>
  <c r="J36"/>
  <c r="J20"/>
  <c r="K35"/>
  <c r="K19"/>
  <c r="I38"/>
  <c r="I14"/>
  <c r="J42"/>
  <c r="K42"/>
  <c r="K41"/>
  <c r="J35"/>
  <c r="K34"/>
  <c r="K27"/>
  <c r="K20"/>
  <c r="I20"/>
  <c r="K31"/>
  <c r="K15"/>
  <c r="I42"/>
  <c r="K39"/>
  <c r="I26"/>
  <c r="K23"/>
  <c r="I17"/>
  <c r="I31"/>
  <c r="K14"/>
  <c r="I27"/>
  <c r="K17"/>
  <c r="I28"/>
  <c r="J27"/>
  <c r="K26"/>
  <c r="I19"/>
  <c r="K25"/>
  <c r="J31"/>
  <c r="J23"/>
  <c r="J15"/>
  <c r="K33"/>
  <c r="J34"/>
  <c r="J26"/>
  <c r="J18"/>
  <c r="I39"/>
  <c r="I23"/>
  <c r="I15"/>
  <c r="I18"/>
  <c r="J17"/>
  <c r="K24"/>
  <c r="J28"/>
  <c r="K40"/>
  <c r="J41"/>
  <c r="J39"/>
  <c r="J38"/>
  <c r="J37"/>
  <c r="I34"/>
  <c r="J33"/>
  <c r="J30"/>
  <c r="K30"/>
  <c r="K28"/>
  <c r="J25"/>
  <c r="I25"/>
  <c r="I24"/>
  <c r="J22"/>
  <c r="J19"/>
  <c r="J14"/>
  <c r="K32"/>
  <c r="K16"/>
  <c r="K29"/>
  <c r="K13"/>
  <c r="K38"/>
  <c r="K22"/>
  <c r="H43"/>
  <c r="G5" i="7" s="1"/>
  <c r="K37" i="2"/>
  <c r="K21"/>
  <c r="K12"/>
  <c r="J40"/>
  <c r="J32"/>
  <c r="J24"/>
  <c r="J16"/>
  <c r="J29"/>
  <c r="J13"/>
  <c r="G43"/>
  <c r="J21"/>
  <c r="I40"/>
  <c r="I32"/>
  <c r="I16"/>
  <c r="I41"/>
  <c r="I33"/>
  <c r="I37"/>
  <c r="I29"/>
  <c r="I21"/>
  <c r="I13"/>
  <c r="F43"/>
  <c r="D5" i="7" s="1"/>
  <c r="I22" i="2"/>
  <c r="E43"/>
  <c r="G4" i="7" s="1"/>
  <c r="C43" i="2"/>
  <c r="D4" i="7" s="1"/>
  <c r="J12" i="2"/>
  <c r="D43"/>
  <c r="I12"/>
  <c r="E8" i="7" l="1"/>
  <c r="D8"/>
  <c r="G8"/>
  <c r="F4"/>
  <c r="F5"/>
  <c r="F6"/>
  <c r="F7"/>
  <c r="I43" i="3"/>
  <c r="K43"/>
  <c r="J43"/>
  <c r="J9" s="1"/>
  <c r="I43" i="2"/>
  <c r="J43"/>
  <c r="J9" s="1"/>
  <c r="K43"/>
  <c r="F8" i="7" l="1"/>
</calcChain>
</file>

<file path=xl/connections.xml><?xml version="1.0" encoding="utf-8"?>
<connections xmlns="http://schemas.openxmlformats.org/spreadsheetml/2006/main">
  <connection id="1" sourceFile="C:\Developer\AkshayaPatraReports\NGO_School_UC_Format_2014_08_26.xlsx" keepAlive="1" name="NGO_School_UC_Format_2014_08_26" type="5" refreshedVersion="3" background="1" saveData="1">
    <dbPr connection="Provider=Microsoft.ACE.OLEDB.12.0;User ID=Admin;Data Source=C:\Developer\AkshayaPatraReports\NGO_School_UC_Format_2014_08_26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NGO_School_UC_Format$" commandType="3"/>
  </connection>
</connections>
</file>

<file path=xl/sharedStrings.xml><?xml version="1.0" encoding="utf-8"?>
<sst xmlns="http://schemas.openxmlformats.org/spreadsheetml/2006/main" count="964" uniqueCount="297">
  <si>
    <t>ದಿನಾಂಕ</t>
  </si>
  <si>
    <t>ಒಟ್ಟು</t>
  </si>
  <si>
    <t>ಅಕ್ಷರ ದಾಸೋಹ ಕಾರ್ಯಕ್ರಮದಡಿಯಲ್ಲಿ ಸ್ವಯಂ ಸೇವಾ ಸಂಸ್ಥೆಯಿಂದ ಮಧ್ಯಾಹ್ನದ ಬಿಸಿಯೂಟ ಪಡೆದ ಮಕ್ಕಳ ವಿವರ</t>
  </si>
  <si>
    <t>ದಾಖಲಾತಿ</t>
  </si>
  <si>
    <t>ಹಾಜರಾತಿ</t>
  </si>
  <si>
    <t>ಬಿಸಿಯೂಟ ಪಡೆದ ಮಕ್ಕಳ ಸಂಖ್ಯೆ</t>
  </si>
  <si>
    <t>ಷರಾ</t>
  </si>
  <si>
    <t xml:space="preserve">ಶಾಲೆ ನಡೆದ ದಿನಗಳು : </t>
  </si>
  <si>
    <t>ಸ್ವಯಂ ಸೇವಾ ಸಂಸ್ಥೆಯ ಹೆಸರು : ದಿ ಅಕ್ಷಯಪಾತ್ರ  ಫೌ೦ಡೇಶನ್</t>
  </si>
  <si>
    <t xml:space="preserve">ಶಾಲೆಯ ಹೆಸರು : </t>
  </si>
  <si>
    <t>1-5 ನೇ ತರಗತಿ</t>
  </si>
  <si>
    <t>6-7 ನೇ ತರಗತಿ</t>
  </si>
  <si>
    <t>ಒಟ್ಟು 1-7 ನೇ ತರಗತಿ</t>
  </si>
  <si>
    <t>ತಿಂಗಳು :</t>
  </si>
  <si>
    <t xml:space="preserve">                   ಅಕ್ಷಯ ಪಾತ್ರೆ ವಿತರಣಾ ಪ್ರತಿನಿಧಿಯ ಸಹಿ                                    ಮುಖ್ಯೋಪಾಧ್ಯಾಯರ ಸಹಿ ಮತ್ತು ಮೊಹರು</t>
  </si>
  <si>
    <t>Select Month</t>
  </si>
  <si>
    <t>Select School</t>
  </si>
  <si>
    <t>start</t>
  </si>
  <si>
    <t>today</t>
  </si>
  <si>
    <t>date1</t>
  </si>
  <si>
    <t>bangalore_panchayat</t>
  </si>
  <si>
    <t>schoolname_address</t>
  </si>
  <si>
    <t>Zone</t>
  </si>
  <si>
    <t>society</t>
  </si>
  <si>
    <t>charity</t>
  </si>
  <si>
    <t>standard1_5/proof</t>
  </si>
  <si>
    <t>standard1_5/attendance</t>
  </si>
  <si>
    <t>standard1_5/days_count</t>
  </si>
  <si>
    <t>standard1_5/distributed_food</t>
  </si>
  <si>
    <t>standard1_5/milk_supplied</t>
  </si>
  <si>
    <t>standard1_5/milk_consumed</t>
  </si>
  <si>
    <t>standard6_7/proof6_7</t>
  </si>
  <si>
    <t>standard6_7/attendance6_7</t>
  </si>
  <si>
    <t>standard6_7/days_count6_7</t>
  </si>
  <si>
    <t>standard6_7/distributed_food6_7</t>
  </si>
  <si>
    <t>standard6_7/milk_supplied6_7</t>
  </si>
  <si>
    <t>standard6_7/milk_consumed6_7</t>
  </si>
  <si>
    <t>standard_8/proof_8</t>
  </si>
  <si>
    <t>standard_8/attendance_8</t>
  </si>
  <si>
    <t>standard_8/days_count_8</t>
  </si>
  <si>
    <t>standard_8/distributed_food_8</t>
  </si>
  <si>
    <t>standard_8/milk_supplied_8</t>
  </si>
  <si>
    <t>standard_8/milk_consumed_8</t>
  </si>
  <si>
    <t>standard9_10/proof9_10</t>
  </si>
  <si>
    <t>standard9_10/attendance9_10</t>
  </si>
  <si>
    <t>standard9_10/days_count9_10</t>
  </si>
  <si>
    <t>standard9_10/distributed_food9_10</t>
  </si>
  <si>
    <t>standard9_10/milk_supplied9_10</t>
  </si>
  <si>
    <t>standard9_10/milk_consumed9_10</t>
  </si>
  <si>
    <t>total/total_wages_proof</t>
  </si>
  <si>
    <t>total/display_proof</t>
  </si>
  <si>
    <t>total/total_wages_attendance</t>
  </si>
  <si>
    <t>total/display_attendance</t>
  </si>
  <si>
    <t>total/total_wages_days_count</t>
  </si>
  <si>
    <t>total/display_days_count</t>
  </si>
  <si>
    <t>total/total_wages_distributed_food</t>
  </si>
  <si>
    <t>total/display_distributed_food</t>
  </si>
  <si>
    <t>total/total_wages_milk_supplied</t>
  </si>
  <si>
    <t>total/display_milk_supplied</t>
  </si>
  <si>
    <t>total/total_wages_milk_consumed</t>
  </si>
  <si>
    <t>total/display_milk_consumed</t>
  </si>
  <si>
    <t>food_preparation</t>
  </si>
  <si>
    <t>chef_details1/chef_name</t>
  </si>
  <si>
    <t>chef_details1/days_worked</t>
  </si>
  <si>
    <t>chef_details1/Remarks</t>
  </si>
  <si>
    <t>chef_details2/chef_name2</t>
  </si>
  <si>
    <t>chef_details2/days_worked2</t>
  </si>
  <si>
    <t>chef_details2/Remarks2</t>
  </si>
  <si>
    <t>chef_details3/chef_name3</t>
  </si>
  <si>
    <t>chef_details3/days_worked3</t>
  </si>
  <si>
    <t>chef_details3/Remarks3</t>
  </si>
  <si>
    <t>chef_details4/chef_name4</t>
  </si>
  <si>
    <t>chef_details4/days_worked4</t>
  </si>
  <si>
    <t>chef_details4/Remarks4</t>
  </si>
  <si>
    <t>worked_under</t>
  </si>
  <si>
    <t>money</t>
  </si>
  <si>
    <t>trust_name</t>
  </si>
  <si>
    <t>geopoint</t>
  </si>
  <si>
    <t>_geopoint_latitude</t>
  </si>
  <si>
    <t>_geopoint_longitude</t>
  </si>
  <si>
    <t>_geopoint_altitude</t>
  </si>
  <si>
    <t>_geopoint_precision</t>
  </si>
  <si>
    <t>place</t>
  </si>
  <si>
    <t>date</t>
  </si>
  <si>
    <t>signature</t>
  </si>
  <si>
    <t>note</t>
  </si>
  <si>
    <t>imei</t>
  </si>
  <si>
    <t>meta/instanceID</t>
  </si>
  <si>
    <t>_id</t>
  </si>
  <si>
    <t>_uuid</t>
  </si>
  <si>
    <t>_submission_time</t>
  </si>
  <si>
    <t>_index</t>
  </si>
  <si>
    <t>_parent_table_name</t>
  </si>
  <si>
    <t>_parent_index</t>
  </si>
  <si>
    <t>2014-08-25T20:15:25.350+05:30</t>
  </si>
  <si>
    <t>2014-08-25</t>
  </si>
  <si>
    <t>Govt school, rajajinagar</t>
  </si>
  <si>
    <t>Bangalore</t>
  </si>
  <si>
    <t>ಅಕ್ಷಯ ಪ್ರತಿಷ್ಠನ ಪಾತ್ರ</t>
  </si>
  <si>
    <t>Akshaya</t>
  </si>
  <si>
    <t>1</t>
  </si>
  <si>
    <t>50</t>
  </si>
  <si>
    <t>25</t>
  </si>
  <si>
    <t>60</t>
  </si>
  <si>
    <t>20</t>
  </si>
  <si>
    <t>45</t>
  </si>
  <si>
    <t>65</t>
  </si>
  <si>
    <t>55</t>
  </si>
  <si>
    <t>70</t>
  </si>
  <si>
    <t>75</t>
  </si>
  <si>
    <t>80</t>
  </si>
  <si>
    <t>85</t>
  </si>
  <si>
    <t>4</t>
  </si>
  <si>
    <t>260</t>
  </si>
  <si>
    <t>285</t>
  </si>
  <si>
    <t>235</t>
  </si>
  <si>
    <t>Ramu</t>
  </si>
  <si>
    <t>12.96793 77.5925768 0.0 34.5</t>
  </si>
  <si>
    <t>12.96793</t>
  </si>
  <si>
    <t>77.5925768</t>
  </si>
  <si>
    <t>0.0</t>
  </si>
  <si>
    <t>34.5</t>
  </si>
  <si>
    <t>Rajajinagar</t>
  </si>
  <si>
    <t>353217051004185</t>
  </si>
  <si>
    <t>uuid:c632bf8b-a80e-4435-a064-d51a664da8d7</t>
  </si>
  <si>
    <t>c632bf8b-a80e-4435-a064-d51a664da8d7</t>
  </si>
  <si>
    <t>2014-08-25T10:52:01</t>
  </si>
  <si>
    <t>2014-08-25T20:22:07.678+05:30</t>
  </si>
  <si>
    <t>2</t>
  </si>
  <si>
    <t>30</t>
  </si>
  <si>
    <t>40</t>
  </si>
  <si>
    <t>8</t>
  </si>
  <si>
    <t>225</t>
  </si>
  <si>
    <t>255</t>
  </si>
  <si>
    <t>100</t>
  </si>
  <si>
    <t>190</t>
  </si>
  <si>
    <t>12.9679304 77.5925747 0.0 37.5</t>
  </si>
  <si>
    <t>12.9679304</t>
  </si>
  <si>
    <t>77.5925747</t>
  </si>
  <si>
    <t>37.5</t>
  </si>
  <si>
    <t>uuid:4a034af8-353a-44e8-bee6-740980c36e17</t>
  </si>
  <si>
    <t>4a034af8-353a-44e8-bee6-740980c36e17</t>
  </si>
  <si>
    <t>2014-08-25T10:52:09</t>
  </si>
  <si>
    <t>2014-08-25T19:18:18.786+05:30</t>
  </si>
  <si>
    <t>35</t>
  </si>
  <si>
    <t>290</t>
  </si>
  <si>
    <t>205</t>
  </si>
  <si>
    <t>12.9679302 77.5925745 0.0 37.5</t>
  </si>
  <si>
    <t>12.9679302</t>
  </si>
  <si>
    <t>77.5925745</t>
  </si>
  <si>
    <t>uuid:7e60e502-f64e-4bcc-b411-7789b79a71d4</t>
  </si>
  <si>
    <t>7e60e502-f64e-4bcc-b411-7789b79a71d4</t>
  </si>
  <si>
    <t>2014-08-26T01:53:07</t>
  </si>
  <si>
    <t>2014-08-25T20:27:05.336+05:30</t>
  </si>
  <si>
    <t>5</t>
  </si>
  <si>
    <t>29</t>
  </si>
  <si>
    <t>26</t>
  </si>
  <si>
    <t>72</t>
  </si>
  <si>
    <t>36</t>
  </si>
  <si>
    <t>68</t>
  </si>
  <si>
    <t>243</t>
  </si>
  <si>
    <t>263</t>
  </si>
  <si>
    <t>104</t>
  </si>
  <si>
    <t>220</t>
  </si>
  <si>
    <t>12.9648324 77.5395458 0.0 24.0</t>
  </si>
  <si>
    <t>12.9648324</t>
  </si>
  <si>
    <t>77.5395458</t>
  </si>
  <si>
    <t>24.0</t>
  </si>
  <si>
    <t>2014-08-26</t>
  </si>
  <si>
    <t>uuid:065d1e35-0ab6-4e58-ac82-19213aa4cb02</t>
  </si>
  <si>
    <t>065d1e35-0ab6-4e58-ac82-19213aa4cb02</t>
  </si>
  <si>
    <t>2014-08-26T10:54:48.180+05:30</t>
  </si>
  <si>
    <t>Vvvs, ramnagar</t>
  </si>
  <si>
    <t>6</t>
  </si>
  <si>
    <t>24</t>
  </si>
  <si>
    <t>48</t>
  </si>
  <si>
    <t>38</t>
  </si>
  <si>
    <t>153</t>
  </si>
  <si>
    <t>168</t>
  </si>
  <si>
    <t>96</t>
  </si>
  <si>
    <t>135</t>
  </si>
  <si>
    <t>12.9678542 77.5926862 0.0 42.0</t>
  </si>
  <si>
    <t>12.9678542</t>
  </si>
  <si>
    <t>77.5926862</t>
  </si>
  <si>
    <t>42.0</t>
  </si>
  <si>
    <t>Ramnagar</t>
  </si>
  <si>
    <t>uuid:b8e910e9-5294-416c-be8a-faf86915008a</t>
  </si>
  <si>
    <t>b8e910e9-5294-416c-be8a-faf86915008a</t>
  </si>
  <si>
    <t>2014-08-26T01:53:08</t>
  </si>
  <si>
    <t>2014-08-26T11:01:43.834+05:30</t>
  </si>
  <si>
    <t>7</t>
  </si>
  <si>
    <t>28</t>
  </si>
  <si>
    <t>34</t>
  </si>
  <si>
    <t>27</t>
  </si>
  <si>
    <t>123</t>
  </si>
  <si>
    <t>134</t>
  </si>
  <si>
    <t>95</t>
  </si>
  <si>
    <t>109</t>
  </si>
  <si>
    <t>12.9678439 77.5927033 0.0 42.0</t>
  </si>
  <si>
    <t>12.9678439</t>
  </si>
  <si>
    <t>77.5927033</t>
  </si>
  <si>
    <t>uuid:0c621e67-b905-47f1-b7d2-f66e210b1271</t>
  </si>
  <si>
    <t>0c621e67-b905-47f1-b7d2-f66e210b1271</t>
  </si>
  <si>
    <t>2014-08-26T11:14:11.252+05:30</t>
  </si>
  <si>
    <t>23</t>
  </si>
  <si>
    <t>42</t>
  </si>
  <si>
    <t>125</t>
  </si>
  <si>
    <t>12.9678493 77.5926957 0.0 40.5</t>
  </si>
  <si>
    <t>12.9678493</t>
  </si>
  <si>
    <t>77.5926957</t>
  </si>
  <si>
    <t>40.5</t>
  </si>
  <si>
    <t>uuid:62177ca9-8d56-4e67-ab53-a41bc9287e1e</t>
  </si>
  <si>
    <t>62177ca9-8d56-4e67-ab53-a41bc9287e1e</t>
  </si>
  <si>
    <t>2014-08-26T01:53:09</t>
  </si>
  <si>
    <t>2014-08-26T11:28:19.953+05:30</t>
  </si>
  <si>
    <t>Vasavi, vijayanagar</t>
  </si>
  <si>
    <t>12.9678518 77.5926908 0.0 48.0</t>
  </si>
  <si>
    <t>12.9678518</t>
  </si>
  <si>
    <t>77.5926908</t>
  </si>
  <si>
    <t>48.0</t>
  </si>
  <si>
    <t>uuid:5aa3f799-e31d-4686-801f-e0004162fde3</t>
  </si>
  <si>
    <t>5aa3f799-e31d-4686-801f-e0004162fde3</t>
  </si>
  <si>
    <t>2014-08-26T03:09:36</t>
  </si>
  <si>
    <t>2014-08-26T11:41:19.106+05:30</t>
  </si>
  <si>
    <t>3</t>
  </si>
  <si>
    <t>32</t>
  </si>
  <si>
    <t>18</t>
  </si>
  <si>
    <t>19</t>
  </si>
  <si>
    <t>12</t>
  </si>
  <si>
    <t>99</t>
  </si>
  <si>
    <t>113</t>
  </si>
  <si>
    <t>77</t>
  </si>
  <si>
    <t>12.967868 77.5926561 0.0 48.0</t>
  </si>
  <si>
    <t>12.967868</t>
  </si>
  <si>
    <t>77.5926561</t>
  </si>
  <si>
    <t>Vijayanagar</t>
  </si>
  <si>
    <t>uuid:843b3258-158e-4ba9-866f-41d6f82807c9</t>
  </si>
  <si>
    <t>843b3258-158e-4ba9-866f-41d6f82807c9</t>
  </si>
  <si>
    <t>2014-08-26T11:45:53.110+05:30</t>
  </si>
  <si>
    <t>121</t>
  </si>
  <si>
    <t>92</t>
  </si>
  <si>
    <t>12.9678764 77.5926411 0.0 49.5</t>
  </si>
  <si>
    <t>12.9678764</t>
  </si>
  <si>
    <t>77.5926411</t>
  </si>
  <si>
    <t>49.5</t>
  </si>
  <si>
    <t>uuid:7ed668da-8293-472a-8781-e4b2fb10135a</t>
  </si>
  <si>
    <t>7ed668da-8293-472a-8781-e4b2fb10135a</t>
  </si>
  <si>
    <t>2014-08-26T03:09:37</t>
  </si>
  <si>
    <t>2014-08-26T11:54:50.172+05:30</t>
  </si>
  <si>
    <t>Govt boys school, jpnagar</t>
  </si>
  <si>
    <t>44</t>
  </si>
  <si>
    <t>33</t>
  </si>
  <si>
    <t>140</t>
  </si>
  <si>
    <t>117</t>
  </si>
  <si>
    <t>12.9678333 77.5927292 0.0 45.0</t>
  </si>
  <si>
    <t>12.9678333</t>
  </si>
  <si>
    <t>77.5927292</t>
  </si>
  <si>
    <t>45.0</t>
  </si>
  <si>
    <t>Jpnagar</t>
  </si>
  <si>
    <t>2014-08-27</t>
  </si>
  <si>
    <t>uuid:2ecf93cd-c2bf-49f8-8645-3c2d60e3f8c1</t>
  </si>
  <si>
    <t>2ecf93cd-c2bf-49f8-8645-3c2d60e3f8c1</t>
  </si>
  <si>
    <t>2014-08-26T12:01:46.673+05:30</t>
  </si>
  <si>
    <t>16</t>
  </si>
  <si>
    <t>141</t>
  </si>
  <si>
    <t>148</t>
  </si>
  <si>
    <t>91</t>
  </si>
  <si>
    <t>88</t>
  </si>
  <si>
    <t>12.9678408 77.5927181 0.0 42.0</t>
  </si>
  <si>
    <t>12.9678408</t>
  </si>
  <si>
    <t>77.5927181</t>
  </si>
  <si>
    <t>uuid:5dfe3275-9134-47d5-bca1-f37dd0e352da</t>
  </si>
  <si>
    <t>5dfe3275-9134-47d5-bca1-f37dd0e352da</t>
  </si>
  <si>
    <t>2014-08-26T03:09:38</t>
  </si>
  <si>
    <t>2014-08-26T12:15:50.262+05:30</t>
  </si>
  <si>
    <t>133</t>
  </si>
  <si>
    <t>139</t>
  </si>
  <si>
    <t>103</t>
  </si>
  <si>
    <t>90</t>
  </si>
  <si>
    <t>12.9678755 77.5926432 0.0 40.5</t>
  </si>
  <si>
    <t>12.9678755</t>
  </si>
  <si>
    <t>77.5926432</t>
  </si>
  <si>
    <t>uuid:72bbe3e6-4dfb-4024-a36d-e3be4111a5f5</t>
  </si>
  <si>
    <t>72bbe3e6-4dfb-4024-a36d-e3be4111a5f5</t>
  </si>
  <si>
    <t>Govt school, vijayanagar</t>
  </si>
  <si>
    <t>ವಲಯ  :</t>
  </si>
  <si>
    <t xml:space="preserve">ಒಟ್ಟು ಫಲಾನುಭವಿಗಳ ಸಂಖ್ಯೆ : </t>
  </si>
  <si>
    <t>9-10 ನೇ ತರಗತಿ</t>
  </si>
  <si>
    <t>ಒಟ್ಟು 8-10 ನೇ ತರಗತಿ</t>
  </si>
  <si>
    <t>8 ನೇ ತರಗತಿ</t>
  </si>
  <si>
    <t>ಕ್ರಮಸಂಖ್ಯೆ</t>
  </si>
  <si>
    <t>ತರಗತಿ</t>
  </si>
  <si>
    <t>ಗರಿಷ್ಠ 1 ದಿನ ಹಾಜರಾತಿ</t>
  </si>
  <si>
    <t>ಶಾಲೆ ನಡೆದ ದಿನಗಳ ಸಂಖ್ಯೆ</t>
  </si>
  <si>
    <t>ಮಾಹೆಯಲ್ಲಿ ಬಿಸಿಯೂಟ ಪಡೆದ ಒಟ್ಟು ಫಲಾನುಭವಿಗಳು ಸಂಖ್ಯೆ</t>
  </si>
  <si>
    <t>ಹಾಲು ಪಡೆದ ದಿನಗಳ ಸಂಖ್ಯೆ</t>
  </si>
  <si>
    <t>ಮಾಹೆಯಲ್ಲಿ ಬಿಸಿಹಾಲು ಸೇವಿಸಿದ ಒಟ್ಟು ಫಲಾನುಭವಿಗಳು ಸಂಖ್ಯೆ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</si>
</sst>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3" borderId="0" xfId="0" applyFill="1"/>
    <xf numFmtId="14" fontId="0" fillId="0" borderId="0" xfId="0" applyNumberFormat="1"/>
    <xf numFmtId="0" fontId="0" fillId="2" borderId="8" xfId="0" applyFill="1" applyBorder="1" applyAlignment="1">
      <alignment horizontal="left" vertical="distributed" wrapText="1"/>
    </xf>
    <xf numFmtId="0" fontId="0" fillId="2" borderId="11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distributed" wrapText="1"/>
    </xf>
    <xf numFmtId="0" fontId="0" fillId="2" borderId="13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Border="1" applyAlignment="1">
      <alignment horizontal="left" vertical="distributed" wrapText="1"/>
    </xf>
    <xf numFmtId="0" fontId="0" fillId="2" borderId="0" xfId="0" applyFill="1" applyBorder="1" applyAlignment="1">
      <alignment horizontal="left"/>
    </xf>
    <xf numFmtId="17" fontId="1" fillId="0" borderId="0" xfId="0" applyNumberFormat="1" applyFont="1" applyFill="1" applyBorder="1" applyAlignment="1">
      <alignment horizontal="left" vertical="distributed" wrapText="1"/>
    </xf>
    <xf numFmtId="0" fontId="1" fillId="2" borderId="13" xfId="0" applyFont="1" applyFill="1" applyBorder="1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2" fontId="0" fillId="0" borderId="1" xfId="0" applyNumberFormat="1" applyBorder="1" applyAlignment="1">
      <alignment horizontal="center" vertical="center"/>
    </xf>
    <xf numFmtId="14" fontId="0" fillId="0" borderId="1" xfId="0" applyNumberFormat="1" applyBorder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1" fontId="0" fillId="0" borderId="1" xfId="0" applyNumberFormat="1" applyBorder="1" applyAlignment="1">
      <alignment horizontal="center" vertical="center"/>
    </xf>
    <xf numFmtId="17" fontId="0" fillId="0" borderId="0" xfId="0" applyNumberFormat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distributed" wrapText="1"/>
    </xf>
    <xf numFmtId="0" fontId="0" fillId="2" borderId="10" xfId="0" applyFill="1" applyBorder="1" applyAlignment="1">
      <alignment horizontal="left" vertical="distributed" wrapText="1"/>
    </xf>
    <xf numFmtId="0" fontId="0" fillId="2" borderId="0" xfId="0" applyFill="1" applyBorder="1" applyAlignment="1">
      <alignment horizontal="left" vertical="distributed" wrapText="1"/>
    </xf>
    <xf numFmtId="0" fontId="0" fillId="0" borderId="0" xfId="0" applyAlignment="1">
      <alignment horizontal="left"/>
    </xf>
    <xf numFmtId="0" fontId="0" fillId="2" borderId="13" xfId="0" applyFill="1" applyBorder="1" applyAlignment="1">
      <alignment horizontal="left" vertical="distributed"/>
    </xf>
    <xf numFmtId="0" fontId="0" fillId="2" borderId="13" xfId="0" applyFill="1" applyBorder="1" applyAlignment="1">
      <alignment horizontal="left"/>
    </xf>
    <xf numFmtId="0" fontId="1" fillId="2" borderId="11" xfId="0" applyFont="1" applyFill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11" xfId="0" applyFont="1" applyBorder="1" applyAlignment="1">
      <alignment horizontal="left" vertical="top" wrapText="1"/>
    </xf>
    <xf numFmtId="0" fontId="1" fillId="0" borderId="12" xfId="0" applyFont="1" applyBorder="1" applyAlignment="1">
      <alignment horizontal="left" vertical="top" wrapText="1"/>
    </xf>
    <xf numFmtId="0" fontId="1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center" textRotation="90"/>
    </xf>
    <xf numFmtId="0" fontId="0" fillId="0" borderId="5" xfId="0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13" xfId="0" applyBorder="1" applyAlignment="1">
      <alignment horizontal="left"/>
    </xf>
    <xf numFmtId="0" fontId="0" fillId="0" borderId="13" xfId="0" applyBorder="1" applyAlignment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5027;741"/>
  <ax:ocxPr ax:name="MatchEntry" ax:value="1"/>
  <ax:ocxPr ax:name="ShowDropButtonWhen" ax:value="2"/>
  <ax:ocxPr ax:name="Value" ax:value="Aug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5027;741"/>
  <ax:ocxPr ax:name="MatchEntry" ax:value="1"/>
  <ax:ocxPr ax:name="ShowDropButtonWhen" ax:value="2"/>
  <ax:ocxPr ax:name="Value" ax:value="Govt school, rajajinagar"/>
  <ax:ocxPr ax:name="FontName" ax:value="Calibri"/>
  <ax:ocxPr ax:name="FontHeight" ax:value="22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NGO_School_UC_Format_2014_08_26" connectionId="1" autoFormatId="16" applyNumberFormats="0" applyBorderFormats="0" applyFontFormats="0" applyPatternFormats="0" applyAlignmentFormats="0" applyWidthHeightFormats="0">
  <queryTableRefresh nextId="78">
    <queryTableFields count="77">
      <queryTableField id="1" name="start" tableColumnId="1"/>
      <queryTableField id="2" name="today" tableColumnId="2"/>
      <queryTableField id="3" name="date1" tableColumnId="3"/>
      <queryTableField id="4" name="bangalore_panchayat" tableColumnId="4"/>
      <queryTableField id="5" name="schoolname_address" tableColumnId="5"/>
      <queryTableField id="6" name="Zone" tableColumnId="6"/>
      <queryTableField id="7" name="society" tableColumnId="7"/>
      <queryTableField id="8" name="charity" tableColumnId="8"/>
      <queryTableField id="9" name="standard1_5/proof" tableColumnId="9"/>
      <queryTableField id="10" name="standard1_5/attendance" tableColumnId="10"/>
      <queryTableField id="11" name="standard1_5/days_count" tableColumnId="11"/>
      <queryTableField id="12" name="standard1_5/distributed_food" tableColumnId="12"/>
      <queryTableField id="13" name="standard1_5/milk_supplied" tableColumnId="13"/>
      <queryTableField id="14" name="standard1_5/milk_consumed" tableColumnId="14"/>
      <queryTableField id="15" name="standard6_7/proof6_7" tableColumnId="15"/>
      <queryTableField id="16" name="standard6_7/attendance6_7" tableColumnId="16"/>
      <queryTableField id="17" name="standard6_7/days_count6_7" tableColumnId="17"/>
      <queryTableField id="18" name="standard6_7/distributed_food6_7" tableColumnId="18"/>
      <queryTableField id="19" name="standard6_7/milk_supplied6_7" tableColumnId="19"/>
      <queryTableField id="20" name="standard6_7/milk_consumed6_7" tableColumnId="20"/>
      <queryTableField id="21" name="standard_8/proof_8" tableColumnId="21"/>
      <queryTableField id="22" name="standard_8/attendance_8" tableColumnId="22"/>
      <queryTableField id="23" name="standard_8/days_count_8" tableColumnId="23"/>
      <queryTableField id="24" name="standard_8/distributed_food_8" tableColumnId="24"/>
      <queryTableField id="25" name="standard_8/milk_supplied_8" tableColumnId="25"/>
      <queryTableField id="26" name="standard_8/milk_consumed_8" tableColumnId="26"/>
      <queryTableField id="27" name="standard9_10/proof9_10" tableColumnId="27"/>
      <queryTableField id="28" name="standard9_10/attendance9_10" tableColumnId="28"/>
      <queryTableField id="29" name="standard9_10/days_count9_10" tableColumnId="29"/>
      <queryTableField id="30" name="standard9_10/distributed_food9_10" tableColumnId="30"/>
      <queryTableField id="31" name="standard9_10/milk_supplied9_10" tableColumnId="31"/>
      <queryTableField id="32" name="standard9_10/milk_consumed9_10" tableColumnId="32"/>
      <queryTableField id="33" name="total/total_wages_proof" tableColumnId="33"/>
      <queryTableField id="34" name="total/display_proof" tableColumnId="34"/>
      <queryTableField id="35" name="total/total_wages_attendance" tableColumnId="35"/>
      <queryTableField id="36" name="total/display_attendance" tableColumnId="36"/>
      <queryTableField id="37" name="total/total_wages_days_count" tableColumnId="37"/>
      <queryTableField id="38" name="total/display_days_count" tableColumnId="38"/>
      <queryTableField id="39" name="total/total_wages_distributed_food" tableColumnId="39"/>
      <queryTableField id="40" name="total/display_distributed_food" tableColumnId="40"/>
      <queryTableField id="41" name="total/total_wages_milk_supplied" tableColumnId="41"/>
      <queryTableField id="42" name="total/display_milk_supplied" tableColumnId="42"/>
      <queryTableField id="43" name="total/total_wages_milk_consumed" tableColumnId="43"/>
      <queryTableField id="44" name="total/display_milk_consumed" tableColumnId="44"/>
      <queryTableField id="45" name="food_preparation" tableColumnId="45"/>
      <queryTableField id="46" name="chef_details1/chef_name" tableColumnId="46"/>
      <queryTableField id="47" name="chef_details1/days_worked" tableColumnId="47"/>
      <queryTableField id="48" name="chef_details1/Remarks" tableColumnId="48"/>
      <queryTableField id="49" name="chef_details2/chef_name2" tableColumnId="49"/>
      <queryTableField id="50" name="chef_details2/days_worked2" tableColumnId="50"/>
      <queryTableField id="51" name="chef_details2/Remarks2" tableColumnId="51"/>
      <queryTableField id="52" name="chef_details3/chef_name3" tableColumnId="52"/>
      <queryTableField id="53" name="chef_details3/days_worked3" tableColumnId="53"/>
      <queryTableField id="54" name="chef_details3/Remarks3" tableColumnId="54"/>
      <queryTableField id="55" name="chef_details4/chef_name4" tableColumnId="55"/>
      <queryTableField id="56" name="chef_details4/days_worked4" tableColumnId="56"/>
      <queryTableField id="57" name="chef_details4/Remarks4" tableColumnId="57"/>
      <queryTableField id="58" name="worked_under" tableColumnId="58"/>
      <queryTableField id="59" name="money" tableColumnId="59"/>
      <queryTableField id="60" name="trust_name" tableColumnId="60"/>
      <queryTableField id="61" name="geopoint" tableColumnId="61"/>
      <queryTableField id="62" name="_geopoint_latitude" tableColumnId="62"/>
      <queryTableField id="63" name="_geopoint_longitude" tableColumnId="63"/>
      <queryTableField id="64" name="_geopoint_altitude" tableColumnId="64"/>
      <queryTableField id="65" name="_geopoint_precision" tableColumnId="65"/>
      <queryTableField id="66" name="place" tableColumnId="66"/>
      <queryTableField id="67" name="date" tableColumnId="67"/>
      <queryTableField id="68" name="signature" tableColumnId="68"/>
      <queryTableField id="69" name="note" tableColumnId="69"/>
      <queryTableField id="70" name="imei" tableColumnId="70"/>
      <queryTableField id="71" name="meta/instanceID" tableColumnId="71"/>
      <queryTableField id="72" name="_id" tableColumnId="72"/>
      <queryTableField id="73" name="_uuid" tableColumnId="73"/>
      <queryTableField id="74" name="_submission_time" tableColumnId="74"/>
      <queryTableField id="75" name="_index" tableColumnId="75"/>
      <queryTableField id="76" name="_parent_table_name" tableColumnId="76"/>
      <queryTableField id="77" name="_parent_index" tableColumnId="7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NGO_School_UC_Format_2014_08_26" displayName="Table_NGO_School_UC_Format_2014_08_26" ref="A2:BY15" tableType="queryTable" totalsRowShown="0">
  <autoFilter ref="A2:BY15">
    <filterColumn colId="2">
      <customFilters and="1">
        <customFilter operator="greaterThanOrEqual" val="41852"/>
        <customFilter operator="lessThanOrEqual" val="41882"/>
      </customFilters>
    </filterColumn>
    <filterColumn colId="4">
      <filters>
        <filter val="Govt school, rajajinagar"/>
      </filters>
    </filterColumn>
  </autoFilter>
  <tableColumns count="77">
    <tableColumn id="1" uniqueName="1" name="start" queryTableFieldId="1"/>
    <tableColumn id="2" uniqueName="2" name="today" queryTableFieldId="2"/>
    <tableColumn id="3" uniqueName="3" name="date1" queryTableFieldId="3" dataDxfId="0"/>
    <tableColumn id="4" uniqueName="4" name="bangalore_panchayat" queryTableFieldId="4"/>
    <tableColumn id="5" uniqueName="5" name="schoolname_address" queryTableFieldId="5"/>
    <tableColumn id="6" uniqueName="6" name="Zone" queryTableFieldId="6"/>
    <tableColumn id="7" uniqueName="7" name="society" queryTableFieldId="7"/>
    <tableColumn id="8" uniqueName="8" name="charity" queryTableFieldId="8"/>
    <tableColumn id="9" uniqueName="9" name="standard1_5/proof" queryTableFieldId="9"/>
    <tableColumn id="10" uniqueName="10" name="standard1_5/attendance" queryTableFieldId="10"/>
    <tableColumn id="11" uniqueName="11" name="standard1_5/days_count" queryTableFieldId="11"/>
    <tableColumn id="12" uniqueName="12" name="standard1_5/distributed_food" queryTableFieldId="12"/>
    <tableColumn id="13" uniqueName="13" name="standard1_5/milk_supplied" queryTableFieldId="13"/>
    <tableColumn id="14" uniqueName="14" name="standard1_5/milk_consumed" queryTableFieldId="14"/>
    <tableColumn id="15" uniqueName="15" name="standard6_7/proof6_7" queryTableFieldId="15"/>
    <tableColumn id="16" uniqueName="16" name="standard6_7/attendance6_7" queryTableFieldId="16"/>
    <tableColumn id="17" uniqueName="17" name="standard6_7/days_count6_7" queryTableFieldId="17"/>
    <tableColumn id="18" uniqueName="18" name="standard6_7/distributed_food6_7" queryTableFieldId="18"/>
    <tableColumn id="19" uniqueName="19" name="standard6_7/milk_supplied6_7" queryTableFieldId="19"/>
    <tableColumn id="20" uniqueName="20" name="standard6_7/milk_consumed6_7" queryTableFieldId="20"/>
    <tableColumn id="21" uniqueName="21" name="standard_8/proof_8" queryTableFieldId="21"/>
    <tableColumn id="22" uniqueName="22" name="standard_8/attendance_8" queryTableFieldId="22"/>
    <tableColumn id="23" uniqueName="23" name="standard_8/days_count_8" queryTableFieldId="23"/>
    <tableColumn id="24" uniqueName="24" name="standard_8/distributed_food_8" queryTableFieldId="24"/>
    <tableColumn id="25" uniqueName="25" name="standard_8/milk_supplied_8" queryTableFieldId="25"/>
    <tableColumn id="26" uniqueName="26" name="standard_8/milk_consumed_8" queryTableFieldId="26"/>
    <tableColumn id="27" uniqueName="27" name="standard9_10/proof9_10" queryTableFieldId="27"/>
    <tableColumn id="28" uniqueName="28" name="standard9_10/attendance9_10" queryTableFieldId="28"/>
    <tableColumn id="29" uniqueName="29" name="standard9_10/days_count9_10" queryTableFieldId="29"/>
    <tableColumn id="30" uniqueName="30" name="standard9_10/distributed_food9_10" queryTableFieldId="30"/>
    <tableColumn id="31" uniqueName="31" name="standard9_10/milk_supplied9_10" queryTableFieldId="31"/>
    <tableColumn id="32" uniqueName="32" name="standard9_10/milk_consumed9_10" queryTableFieldId="32"/>
    <tableColumn id="33" uniqueName="33" name="total/total_wages_proof" queryTableFieldId="33"/>
    <tableColumn id="34" uniqueName="34" name="total/display_proof" queryTableFieldId="34"/>
    <tableColumn id="35" uniqueName="35" name="total/total_wages_attendance" queryTableFieldId="35"/>
    <tableColumn id="36" uniqueName="36" name="total/display_attendance" queryTableFieldId="36"/>
    <tableColumn id="37" uniqueName="37" name="total/total_wages_days_count" queryTableFieldId="37"/>
    <tableColumn id="38" uniqueName="38" name="total/display_days_count" queryTableFieldId="38"/>
    <tableColumn id="39" uniqueName="39" name="total/total_wages_distributed_food" queryTableFieldId="39"/>
    <tableColumn id="40" uniqueName="40" name="total/display_distributed_food" queryTableFieldId="40"/>
    <tableColumn id="41" uniqueName="41" name="total/total_wages_milk_supplied" queryTableFieldId="41"/>
    <tableColumn id="42" uniqueName="42" name="total/display_milk_supplied" queryTableFieldId="42"/>
    <tableColumn id="43" uniqueName="43" name="total/total_wages_milk_consumed" queryTableFieldId="43"/>
    <tableColumn id="44" uniqueName="44" name="total/display_milk_consumed" queryTableFieldId="44"/>
    <tableColumn id="45" uniqueName="45" name="food_preparation" queryTableFieldId="45"/>
    <tableColumn id="46" uniqueName="46" name="chef_details1/chef_name" queryTableFieldId="46"/>
    <tableColumn id="47" uniqueName="47" name="chef_details1/days_worked" queryTableFieldId="47"/>
    <tableColumn id="48" uniqueName="48" name="chef_details1/Remarks" queryTableFieldId="48"/>
    <tableColumn id="49" uniqueName="49" name="chef_details2/chef_name2" queryTableFieldId="49"/>
    <tableColumn id="50" uniqueName="50" name="chef_details2/days_worked2" queryTableFieldId="50"/>
    <tableColumn id="51" uniqueName="51" name="chef_details2/Remarks2" queryTableFieldId="51"/>
    <tableColumn id="52" uniqueName="52" name="chef_details3/chef_name3" queryTableFieldId="52"/>
    <tableColumn id="53" uniqueName="53" name="chef_details3/days_worked3" queryTableFieldId="53"/>
    <tableColumn id="54" uniqueName="54" name="chef_details3/Remarks3" queryTableFieldId="54"/>
    <tableColumn id="55" uniqueName="55" name="chef_details4/chef_name4" queryTableFieldId="55"/>
    <tableColumn id="56" uniqueName="56" name="chef_details4/days_worked4" queryTableFieldId="56"/>
    <tableColumn id="57" uniqueName="57" name="chef_details4/Remarks4" queryTableFieldId="57"/>
    <tableColumn id="58" uniqueName="58" name="worked_under" queryTableFieldId="58"/>
    <tableColumn id="59" uniqueName="59" name="money" queryTableFieldId="59"/>
    <tableColumn id="60" uniqueName="60" name="trust_name" queryTableFieldId="60"/>
    <tableColumn id="61" uniqueName="61" name="geopoint" queryTableFieldId="61"/>
    <tableColumn id="62" uniqueName="62" name="_geopoint_latitude" queryTableFieldId="62"/>
    <tableColumn id="63" uniqueName="63" name="_geopoint_longitude" queryTableFieldId="63"/>
    <tableColumn id="64" uniqueName="64" name="_geopoint_altitude" queryTableFieldId="64"/>
    <tableColumn id="65" uniqueName="65" name="_geopoint_precision" queryTableFieldId="65"/>
    <tableColumn id="66" uniqueName="66" name="place" queryTableFieldId="66"/>
    <tableColumn id="67" uniqueName="67" name="date" queryTableFieldId="67"/>
    <tableColumn id="68" uniqueName="68" name="signature" queryTableFieldId="68"/>
    <tableColumn id="69" uniqueName="69" name="note" queryTableFieldId="69"/>
    <tableColumn id="70" uniqueName="70" name="imei" queryTableFieldId="70"/>
    <tableColumn id="71" uniqueName="71" name="meta/instanceID" queryTableFieldId="71"/>
    <tableColumn id="72" uniqueName="72" name="_id" queryTableFieldId="72"/>
    <tableColumn id="73" uniqueName="73" name="_uuid" queryTableFieldId="73"/>
    <tableColumn id="74" uniqueName="74" name="_submission_time" queryTableFieldId="74"/>
    <tableColumn id="75" uniqueName="75" name="_index" queryTableFieldId="75"/>
    <tableColumn id="76" uniqueName="76" name="_parent_table_name" queryTableFieldId="76"/>
    <tableColumn id="77" uniqueName="77" name="_parent_index" queryTableFieldId="7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1:L44"/>
  <sheetViews>
    <sheetView showGridLines="0" tabSelected="1" workbookViewId="0">
      <selection activeCell="P6" sqref="P6"/>
    </sheetView>
  </sheetViews>
  <sheetFormatPr defaultRowHeight="15"/>
  <cols>
    <col min="2" max="2" width="10.28515625" customWidth="1"/>
    <col min="3" max="10" width="9.140625" style="22"/>
    <col min="11" max="11" width="9.28515625" style="22" customWidth="1"/>
    <col min="12" max="12" width="29" customWidth="1"/>
    <col min="14" max="14" width="13" customWidth="1"/>
  </cols>
  <sheetData>
    <row r="1" spans="2:12" ht="15.75" customHeight="1">
      <c r="B1" s="8"/>
      <c r="C1" s="19"/>
      <c r="D1" s="19"/>
      <c r="E1" s="19"/>
      <c r="F1" s="19"/>
      <c r="G1" s="19"/>
      <c r="H1" s="19"/>
      <c r="I1" s="19"/>
      <c r="J1" s="19"/>
      <c r="K1" s="19"/>
      <c r="L1" s="8"/>
    </row>
    <row r="2" spans="2:12">
      <c r="B2" s="8" t="s">
        <v>15</v>
      </c>
      <c r="C2" s="19"/>
      <c r="D2" s="19"/>
      <c r="E2" s="19"/>
      <c r="F2" s="19"/>
      <c r="G2" s="19"/>
      <c r="H2" s="19"/>
      <c r="I2" s="19"/>
      <c r="J2" s="19"/>
      <c r="K2" s="19"/>
      <c r="L2" s="8"/>
    </row>
    <row r="3" spans="2:12" ht="24" customHeight="1">
      <c r="B3" s="8" t="s">
        <v>16</v>
      </c>
      <c r="C3" s="19"/>
      <c r="D3" s="19"/>
      <c r="E3" s="19"/>
      <c r="F3" s="19"/>
      <c r="G3" s="19"/>
      <c r="H3" s="19"/>
      <c r="I3" s="19"/>
      <c r="J3" s="19"/>
      <c r="K3" s="19"/>
      <c r="L3" s="8"/>
    </row>
    <row r="4" spans="2:12" ht="28.5" customHeight="1">
      <c r="B4" s="35" t="s">
        <v>2</v>
      </c>
      <c r="C4" s="36"/>
      <c r="D4" s="36"/>
      <c r="E4" s="36"/>
      <c r="F4" s="36"/>
      <c r="G4" s="36"/>
      <c r="H4" s="36"/>
      <c r="I4" s="36"/>
      <c r="J4" s="36"/>
      <c r="K4" s="36"/>
      <c r="L4" s="37"/>
    </row>
    <row r="5" spans="2:12" ht="21" customHeight="1">
      <c r="B5" s="11" t="s">
        <v>9</v>
      </c>
      <c r="C5" s="20"/>
      <c r="D5" s="20"/>
      <c r="E5" s="20"/>
      <c r="F5" s="20"/>
      <c r="G5" s="38" t="s">
        <v>8</v>
      </c>
      <c r="H5" s="38"/>
      <c r="I5" s="38"/>
      <c r="J5" s="38"/>
      <c r="K5" s="38"/>
      <c r="L5" s="39"/>
    </row>
    <row r="6" spans="2:12">
      <c r="B6" s="44" t="s">
        <v>96</v>
      </c>
      <c r="C6" s="45"/>
      <c r="D6" s="45"/>
      <c r="E6" s="45"/>
      <c r="F6" s="45"/>
      <c r="G6" s="12" t="s">
        <v>13</v>
      </c>
      <c r="H6" s="17">
        <v>41852</v>
      </c>
      <c r="I6" s="12"/>
      <c r="J6" s="12"/>
      <c r="K6" s="12"/>
      <c r="L6" s="10"/>
    </row>
    <row r="7" spans="2:12">
      <c r="B7" s="46"/>
      <c r="C7" s="45"/>
      <c r="D7" s="45"/>
      <c r="E7" s="45"/>
      <c r="F7" s="45"/>
      <c r="G7" s="12" t="s">
        <v>285</v>
      </c>
      <c r="H7" s="12"/>
      <c r="I7" s="12"/>
      <c r="J7" s="12"/>
      <c r="K7" s="12"/>
      <c r="L7" s="10"/>
    </row>
    <row r="8" spans="2:12" ht="15" customHeight="1">
      <c r="B8" s="46"/>
      <c r="C8" s="45"/>
      <c r="D8" s="45"/>
      <c r="E8" s="45"/>
      <c r="F8" s="45"/>
      <c r="G8" s="40" t="s">
        <v>7</v>
      </c>
      <c r="H8" s="41"/>
      <c r="I8" s="23">
        <f>COUNTIF(D12:D42,"&gt;"&amp;0)</f>
        <v>3</v>
      </c>
      <c r="J8" s="16"/>
      <c r="K8" s="16"/>
      <c r="L8" s="24"/>
    </row>
    <row r="9" spans="2:12" ht="18" customHeight="1">
      <c r="B9" s="47"/>
      <c r="C9" s="48"/>
      <c r="D9" s="48"/>
      <c r="E9" s="48"/>
      <c r="F9" s="48"/>
      <c r="G9" s="42" t="s">
        <v>286</v>
      </c>
      <c r="H9" s="43"/>
      <c r="I9" s="43"/>
      <c r="J9" s="18">
        <f>J43</f>
        <v>362</v>
      </c>
      <c r="K9" s="13"/>
      <c r="L9" s="14"/>
    </row>
    <row r="10" spans="2:12" ht="18" customHeight="1">
      <c r="B10" s="49" t="s">
        <v>0</v>
      </c>
      <c r="C10" s="51" t="s">
        <v>10</v>
      </c>
      <c r="D10" s="52"/>
      <c r="E10" s="53"/>
      <c r="F10" s="51" t="s">
        <v>11</v>
      </c>
      <c r="G10" s="54"/>
      <c r="H10" s="55"/>
      <c r="I10" s="56" t="s">
        <v>12</v>
      </c>
      <c r="J10" s="57"/>
      <c r="K10" s="58"/>
      <c r="L10" s="2"/>
    </row>
    <row r="11" spans="2:12" ht="68.25" customHeight="1">
      <c r="B11" s="50"/>
      <c r="C11" s="4" t="s">
        <v>3</v>
      </c>
      <c r="D11" s="4" t="s">
        <v>4</v>
      </c>
      <c r="E11" s="5" t="s">
        <v>5</v>
      </c>
      <c r="F11" s="4" t="s">
        <v>3</v>
      </c>
      <c r="G11" s="4" t="s">
        <v>4</v>
      </c>
      <c r="H11" s="5" t="s">
        <v>5</v>
      </c>
      <c r="I11" s="4" t="s">
        <v>3</v>
      </c>
      <c r="J11" s="4" t="s">
        <v>4</v>
      </c>
      <c r="K11" s="5" t="s">
        <v>5</v>
      </c>
      <c r="L11" s="3" t="s">
        <v>6</v>
      </c>
    </row>
    <row r="12" spans="2:12" ht="20.100000000000001" customHeight="1">
      <c r="B12" s="27">
        <v>41852</v>
      </c>
      <c r="C12" s="21">
        <f>VALUE(IF(ISNA(VLOOKUP(B12,reportdata!C:I,7,FALSE)),0,VLOOKUP(B12,reportdata!C:I,7,FALSE)))</f>
        <v>1</v>
      </c>
      <c r="D12" s="21">
        <f>VALUE(IF(ISNA(VLOOKUP(B12,reportdata!C:J,8,FALSE)),0,VLOOKUP(B12,reportdata!C:J,8,FALSE)))</f>
        <v>50</v>
      </c>
      <c r="E12" s="21">
        <f>VALUE(IF(ISNA(VLOOKUP(B12,reportdata!C:L,10,FALSE)),0,VLOOKUP(B12,reportdata!C:L,10,FALSE)))</f>
        <v>60</v>
      </c>
      <c r="F12" s="21">
        <f>VALUE(IF(ISNA(VLOOKUP(B12,reportdata!C:O,13,FALSE)),0,VLOOKUP(B12,reportdata!C:O,13,FALSE)))</f>
        <v>1</v>
      </c>
      <c r="G12" s="21">
        <f>VALUE(IF(ISNA(VLOOKUP(B12,reportdata!C:P,14,FALSE)),0,VLOOKUP(B12,reportdata!C:P,14,FALSE)))</f>
        <v>60</v>
      </c>
      <c r="H12" s="21">
        <f>VALUE(IF(ISNA(VLOOKUP(B12,reportdata!C:R,16,FALSE)),0,VLOOKUP(B12,reportdata!C:R,16,FALSE)))</f>
        <v>65</v>
      </c>
      <c r="I12" s="21">
        <f>C12+F12</f>
        <v>2</v>
      </c>
      <c r="J12" s="21">
        <f>D12+G12</f>
        <v>110</v>
      </c>
      <c r="K12" s="21">
        <f>E12+H12</f>
        <v>125</v>
      </c>
      <c r="L12" s="1"/>
    </row>
    <row r="13" spans="2:12" ht="20.100000000000001" customHeight="1">
      <c r="B13" s="27">
        <v>41853</v>
      </c>
      <c r="C13" s="21">
        <f>VALUE(IF(ISNA(VLOOKUP(B13,reportdata!C:I,7,FALSE)),0,VLOOKUP(B13,reportdata!C:I,7,FALSE)))</f>
        <v>0</v>
      </c>
      <c r="D13" s="21">
        <f>VALUE(IF(ISNA(VLOOKUP(B13,reportdata!C:J,8,FALSE)),0,VLOOKUP(B13,reportdata!C:J,8,FALSE)))</f>
        <v>0</v>
      </c>
      <c r="E13" s="21">
        <f>VALUE(IF(ISNA(VLOOKUP(B13,reportdata!C:L,10,FALSE)),0,VLOOKUP(B13,reportdata!C:L,10,FALSE)))</f>
        <v>0</v>
      </c>
      <c r="F13" s="21">
        <f>VALUE(IF(ISNA(VLOOKUP(B13,reportdata!C:O,13,FALSE)),0,VLOOKUP(B13,reportdata!C:O,13,FALSE)))</f>
        <v>0</v>
      </c>
      <c r="G13" s="21">
        <f>VALUE(IF(ISNA(VLOOKUP(B13,reportdata!C:P,14,FALSE)),0,VLOOKUP(B13,reportdata!C:P,14,FALSE)))</f>
        <v>0</v>
      </c>
      <c r="H13" s="21">
        <f>VALUE(IF(ISNA(VLOOKUP(B13,reportdata!C:R,16,FALSE)),0,VLOOKUP(B13,reportdata!C:R,16,FALSE)))</f>
        <v>0</v>
      </c>
      <c r="I13" s="21">
        <f>C13+F13</f>
        <v>0</v>
      </c>
      <c r="J13" s="21">
        <f t="shared" ref="J13:J42" si="0">D13+G13</f>
        <v>0</v>
      </c>
      <c r="K13" s="21">
        <f t="shared" ref="K13:K42" si="1">E13+H13</f>
        <v>0</v>
      </c>
      <c r="L13" s="1"/>
    </row>
    <row r="14" spans="2:12" ht="20.100000000000001" customHeight="1">
      <c r="B14" s="27">
        <v>41854</v>
      </c>
      <c r="C14" s="21">
        <f>VALUE(IF(ISNA(VLOOKUP(B14,reportdata!C:I,7,FALSE)),0,VLOOKUP(B14,reportdata!C:I,7,FALSE)))</f>
        <v>0</v>
      </c>
      <c r="D14" s="21">
        <f>VALUE(IF(ISNA(VLOOKUP(B14,reportdata!C:J,8,FALSE)),0,VLOOKUP(B14,reportdata!C:J,8,FALSE)))</f>
        <v>0</v>
      </c>
      <c r="E14" s="21">
        <f>VALUE(IF(ISNA(VLOOKUP(B14,reportdata!C:L,10,FALSE)),0,VLOOKUP(B14,reportdata!C:L,10,FALSE)))</f>
        <v>0</v>
      </c>
      <c r="F14" s="21">
        <f>VALUE(IF(ISNA(VLOOKUP(B14,reportdata!C:O,13,FALSE)),0,VLOOKUP(B14,reportdata!C:O,13,FALSE)))</f>
        <v>0</v>
      </c>
      <c r="G14" s="21">
        <f>VALUE(IF(ISNA(VLOOKUP(B14,reportdata!C:P,14,FALSE)),0,VLOOKUP(B14,reportdata!C:P,14,FALSE)))</f>
        <v>0</v>
      </c>
      <c r="H14" s="21">
        <f>VALUE(IF(ISNA(VLOOKUP(B14,reportdata!C:R,16,FALSE)),0,VLOOKUP(B14,reportdata!C:R,16,FALSE)))</f>
        <v>0</v>
      </c>
      <c r="I14" s="21">
        <f t="shared" ref="I14:I41" si="2">C14+F14</f>
        <v>0</v>
      </c>
      <c r="J14" s="21">
        <f t="shared" si="0"/>
        <v>0</v>
      </c>
      <c r="K14" s="21">
        <f t="shared" si="1"/>
        <v>0</v>
      </c>
      <c r="L14" s="1"/>
    </row>
    <row r="15" spans="2:12" ht="20.100000000000001" customHeight="1">
      <c r="B15" s="27">
        <v>41855</v>
      </c>
      <c r="C15" s="21">
        <f>VALUE(IF(ISNA(VLOOKUP(B15,reportdata!C:I,7,FALSE)),0,VLOOKUP(B15,reportdata!C:I,7,FALSE)))</f>
        <v>1</v>
      </c>
      <c r="D15" s="21">
        <f>VALUE(IF(ISNA(VLOOKUP(B15,reportdata!C:J,8,FALSE)),0,VLOOKUP(B15,reportdata!C:J,8,FALSE)))</f>
        <v>50</v>
      </c>
      <c r="E15" s="21">
        <f>VALUE(IF(ISNA(VLOOKUP(B15,reportdata!C:L,10,FALSE)),0,VLOOKUP(B15,reportdata!C:L,10,FALSE)))</f>
        <v>60</v>
      </c>
      <c r="F15" s="21">
        <f>VALUE(IF(ISNA(VLOOKUP(B15,reportdata!C:O,13,FALSE)),0,VLOOKUP(B15,reportdata!C:O,13,FALSE)))</f>
        <v>1</v>
      </c>
      <c r="G15" s="21">
        <f>VALUE(IF(ISNA(VLOOKUP(B15,reportdata!C:P,14,FALSE)),0,VLOOKUP(B15,reportdata!C:P,14,FALSE)))</f>
        <v>60</v>
      </c>
      <c r="H15" s="21">
        <f>VALUE(IF(ISNA(VLOOKUP(B15,reportdata!C:R,16,FALSE)),0,VLOOKUP(B15,reportdata!C:R,16,FALSE)))</f>
        <v>70</v>
      </c>
      <c r="I15" s="21">
        <f t="shared" si="2"/>
        <v>2</v>
      </c>
      <c r="J15" s="21">
        <f t="shared" si="0"/>
        <v>110</v>
      </c>
      <c r="K15" s="21">
        <f t="shared" si="1"/>
        <v>130</v>
      </c>
      <c r="L15" s="1"/>
    </row>
    <row r="16" spans="2:12" ht="20.100000000000001" customHeight="1">
      <c r="B16" s="27">
        <v>41856</v>
      </c>
      <c r="C16" s="21">
        <f>VALUE(IF(ISNA(VLOOKUP(B16,reportdata!C:I,7,FALSE)),0,VLOOKUP(B16,reportdata!C:I,7,FALSE)))</f>
        <v>5</v>
      </c>
      <c r="D16" s="21">
        <f>VALUE(IF(ISNA(VLOOKUP(B16,reportdata!C:J,8,FALSE)),0,VLOOKUP(B16,reportdata!C:J,8,FALSE)))</f>
        <v>70</v>
      </c>
      <c r="E16" s="21">
        <f>VALUE(IF(ISNA(VLOOKUP(B16,reportdata!C:L,10,FALSE)),0,VLOOKUP(B16,reportdata!C:L,10,FALSE)))</f>
        <v>75</v>
      </c>
      <c r="F16" s="21">
        <f>VALUE(IF(ISNA(VLOOKUP(B16,reportdata!C:O,13,FALSE)),0,VLOOKUP(B16,reportdata!C:O,13,FALSE)))</f>
        <v>5</v>
      </c>
      <c r="G16" s="21">
        <f>VALUE(IF(ISNA(VLOOKUP(B16,reportdata!C:P,14,FALSE)),0,VLOOKUP(B16,reportdata!C:P,14,FALSE)))</f>
        <v>72</v>
      </c>
      <c r="H16" s="21">
        <f>VALUE(IF(ISNA(VLOOKUP(B16,reportdata!C:R,16,FALSE)),0,VLOOKUP(B16,reportdata!C:R,16,FALSE)))</f>
        <v>80</v>
      </c>
      <c r="I16" s="21">
        <f t="shared" si="2"/>
        <v>10</v>
      </c>
      <c r="J16" s="21">
        <f t="shared" si="0"/>
        <v>142</v>
      </c>
      <c r="K16" s="21">
        <f t="shared" si="1"/>
        <v>155</v>
      </c>
      <c r="L16" s="1"/>
    </row>
    <row r="17" spans="2:12" ht="20.100000000000001" customHeight="1">
      <c r="B17" s="27">
        <v>41857</v>
      </c>
      <c r="C17" s="21">
        <f>VALUE(IF(ISNA(VLOOKUP(B17,reportdata!C:I,7,FALSE)),0,VLOOKUP(B17,reportdata!C:I,7,FALSE)))</f>
        <v>0</v>
      </c>
      <c r="D17" s="21">
        <f>VALUE(IF(ISNA(VLOOKUP(B17,reportdata!C:J,8,FALSE)),0,VLOOKUP(B17,reportdata!C:J,8,FALSE)))</f>
        <v>0</v>
      </c>
      <c r="E17" s="21">
        <f>VALUE(IF(ISNA(VLOOKUP(B17,reportdata!C:L,10,FALSE)),0,VLOOKUP(B17,reportdata!C:L,10,FALSE)))</f>
        <v>0</v>
      </c>
      <c r="F17" s="21">
        <f>VALUE(IF(ISNA(VLOOKUP(B17,reportdata!C:O,13,FALSE)),0,VLOOKUP(B17,reportdata!C:O,13,FALSE)))</f>
        <v>0</v>
      </c>
      <c r="G17" s="21">
        <f>VALUE(IF(ISNA(VLOOKUP(B17,reportdata!C:P,14,FALSE)),0,VLOOKUP(B17,reportdata!C:P,14,FALSE)))</f>
        <v>0</v>
      </c>
      <c r="H17" s="21">
        <f>VALUE(IF(ISNA(VLOOKUP(B17,reportdata!C:R,16,FALSE)),0,VLOOKUP(B17,reportdata!C:R,16,FALSE)))</f>
        <v>0</v>
      </c>
      <c r="I17" s="21">
        <f t="shared" si="2"/>
        <v>0</v>
      </c>
      <c r="J17" s="21">
        <f t="shared" si="0"/>
        <v>0</v>
      </c>
      <c r="K17" s="21">
        <f t="shared" si="1"/>
        <v>0</v>
      </c>
      <c r="L17" s="1"/>
    </row>
    <row r="18" spans="2:12" ht="20.100000000000001" customHeight="1">
      <c r="B18" s="27">
        <v>41858</v>
      </c>
      <c r="C18" s="21">
        <f>VALUE(IF(ISNA(VLOOKUP(B18,reportdata!C:I,7,FALSE)),0,VLOOKUP(B18,reportdata!C:I,7,FALSE)))</f>
        <v>0</v>
      </c>
      <c r="D18" s="21">
        <f>VALUE(IF(ISNA(VLOOKUP(B18,reportdata!C:J,8,FALSE)),0,VLOOKUP(B18,reportdata!C:J,8,FALSE)))</f>
        <v>0</v>
      </c>
      <c r="E18" s="21">
        <f>VALUE(IF(ISNA(VLOOKUP(B18,reportdata!C:L,10,FALSE)),0,VLOOKUP(B18,reportdata!C:L,10,FALSE)))</f>
        <v>0</v>
      </c>
      <c r="F18" s="21">
        <f>VALUE(IF(ISNA(VLOOKUP(B18,reportdata!C:O,13,FALSE)),0,VLOOKUP(B18,reportdata!C:O,13,FALSE)))</f>
        <v>0</v>
      </c>
      <c r="G18" s="21">
        <f>VALUE(IF(ISNA(VLOOKUP(B18,reportdata!C:P,14,FALSE)),0,VLOOKUP(B18,reportdata!C:P,14,FALSE)))</f>
        <v>0</v>
      </c>
      <c r="H18" s="21">
        <f>VALUE(IF(ISNA(VLOOKUP(B18,reportdata!C:R,16,FALSE)),0,VLOOKUP(B18,reportdata!C:R,16,FALSE)))</f>
        <v>0</v>
      </c>
      <c r="I18" s="21">
        <f>C18+F18</f>
        <v>0</v>
      </c>
      <c r="J18" s="21">
        <f t="shared" si="0"/>
        <v>0</v>
      </c>
      <c r="K18" s="21">
        <f t="shared" si="1"/>
        <v>0</v>
      </c>
      <c r="L18" s="1"/>
    </row>
    <row r="19" spans="2:12" ht="20.100000000000001" customHeight="1">
      <c r="B19" s="27">
        <v>41859</v>
      </c>
      <c r="C19" s="21">
        <f>VALUE(IF(ISNA(VLOOKUP(B19,reportdata!C:I,7,FALSE)),0,VLOOKUP(B19,reportdata!C:I,7,FALSE)))</f>
        <v>0</v>
      </c>
      <c r="D19" s="21">
        <f>VALUE(IF(ISNA(VLOOKUP(B19,reportdata!C:J,8,FALSE)),0,VLOOKUP(B19,reportdata!C:J,8,FALSE)))</f>
        <v>0</v>
      </c>
      <c r="E19" s="21">
        <f>VALUE(IF(ISNA(VLOOKUP(B19,reportdata!C:L,10,FALSE)),0,VLOOKUP(B19,reportdata!C:L,10,FALSE)))</f>
        <v>0</v>
      </c>
      <c r="F19" s="21">
        <f>VALUE(IF(ISNA(VLOOKUP(B19,reportdata!C:O,13,FALSE)),0,VLOOKUP(B19,reportdata!C:O,13,FALSE)))</f>
        <v>0</v>
      </c>
      <c r="G19" s="21">
        <f>VALUE(IF(ISNA(VLOOKUP(B19,reportdata!C:P,14,FALSE)),0,VLOOKUP(B19,reportdata!C:P,14,FALSE)))</f>
        <v>0</v>
      </c>
      <c r="H19" s="21">
        <f>VALUE(IF(ISNA(VLOOKUP(B19,reportdata!C:R,16,FALSE)),0,VLOOKUP(B19,reportdata!C:R,16,FALSE)))</f>
        <v>0</v>
      </c>
      <c r="I19" s="21">
        <f t="shared" si="2"/>
        <v>0</v>
      </c>
      <c r="J19" s="21">
        <f t="shared" si="0"/>
        <v>0</v>
      </c>
      <c r="K19" s="21">
        <f t="shared" si="1"/>
        <v>0</v>
      </c>
      <c r="L19" s="1"/>
    </row>
    <row r="20" spans="2:12" ht="20.100000000000001" customHeight="1">
      <c r="B20" s="27">
        <v>41860</v>
      </c>
      <c r="C20" s="21">
        <f>VALUE(IF(ISNA(VLOOKUP(B20,reportdata!C:I,7,FALSE)),0,VLOOKUP(B20,reportdata!C:I,7,FALSE)))</f>
        <v>0</v>
      </c>
      <c r="D20" s="21">
        <f>VALUE(IF(ISNA(VLOOKUP(B20,reportdata!C:J,8,FALSE)),0,VLOOKUP(B20,reportdata!C:J,8,FALSE)))</f>
        <v>0</v>
      </c>
      <c r="E20" s="21">
        <f>VALUE(IF(ISNA(VLOOKUP(B20,reportdata!C:L,10,FALSE)),0,VLOOKUP(B20,reportdata!C:L,10,FALSE)))</f>
        <v>0</v>
      </c>
      <c r="F20" s="21">
        <f>VALUE(IF(ISNA(VLOOKUP(B20,reportdata!C:O,13,FALSE)),0,VLOOKUP(B20,reportdata!C:O,13,FALSE)))</f>
        <v>0</v>
      </c>
      <c r="G20" s="21">
        <f>VALUE(IF(ISNA(VLOOKUP(B20,reportdata!C:P,14,FALSE)),0,VLOOKUP(B20,reportdata!C:P,14,FALSE)))</f>
        <v>0</v>
      </c>
      <c r="H20" s="21">
        <f>VALUE(IF(ISNA(VLOOKUP(B20,reportdata!C:R,16,FALSE)),0,VLOOKUP(B20,reportdata!C:R,16,FALSE)))</f>
        <v>0</v>
      </c>
      <c r="I20" s="21">
        <f t="shared" si="2"/>
        <v>0</v>
      </c>
      <c r="J20" s="21">
        <f t="shared" si="0"/>
        <v>0</v>
      </c>
      <c r="K20" s="21">
        <f t="shared" si="1"/>
        <v>0</v>
      </c>
      <c r="L20" s="1"/>
    </row>
    <row r="21" spans="2:12" ht="20.100000000000001" customHeight="1">
      <c r="B21" s="27">
        <v>41861</v>
      </c>
      <c r="C21" s="21">
        <f>VALUE(IF(ISNA(VLOOKUP(B21,reportdata!C:I,7,FALSE)),0,VLOOKUP(B21,reportdata!C:I,7,FALSE)))</f>
        <v>0</v>
      </c>
      <c r="D21" s="21">
        <f>VALUE(IF(ISNA(VLOOKUP(B21,reportdata!C:J,8,FALSE)),0,VLOOKUP(B21,reportdata!C:J,8,FALSE)))</f>
        <v>0</v>
      </c>
      <c r="E21" s="21">
        <f>VALUE(IF(ISNA(VLOOKUP(B21,reportdata!C:L,10,FALSE)),0,VLOOKUP(B21,reportdata!C:L,10,FALSE)))</f>
        <v>0</v>
      </c>
      <c r="F21" s="21">
        <f>VALUE(IF(ISNA(VLOOKUP(B21,reportdata!C:O,13,FALSE)),0,VLOOKUP(B21,reportdata!C:O,13,FALSE)))</f>
        <v>0</v>
      </c>
      <c r="G21" s="21">
        <f>VALUE(IF(ISNA(VLOOKUP(B21,reportdata!C:P,14,FALSE)),0,VLOOKUP(B21,reportdata!C:P,14,FALSE)))</f>
        <v>0</v>
      </c>
      <c r="H21" s="21">
        <f>VALUE(IF(ISNA(VLOOKUP(B21,reportdata!C:R,16,FALSE)),0,VLOOKUP(B21,reportdata!C:R,16,FALSE)))</f>
        <v>0</v>
      </c>
      <c r="I21" s="21">
        <f t="shared" si="2"/>
        <v>0</v>
      </c>
      <c r="J21" s="21">
        <f t="shared" si="0"/>
        <v>0</v>
      </c>
      <c r="K21" s="21">
        <f t="shared" si="1"/>
        <v>0</v>
      </c>
      <c r="L21" s="1"/>
    </row>
    <row r="22" spans="2:12" ht="20.100000000000001" customHeight="1">
      <c r="B22" s="27">
        <v>41862</v>
      </c>
      <c r="C22" s="21">
        <f>VALUE(IF(ISNA(VLOOKUP(B22,reportdata!C:I,7,FALSE)),0,VLOOKUP(B22,reportdata!C:I,7,FALSE)))</f>
        <v>0</v>
      </c>
      <c r="D22" s="21">
        <f>VALUE(IF(ISNA(VLOOKUP(B22,reportdata!C:J,8,FALSE)),0,VLOOKUP(B22,reportdata!C:J,8,FALSE)))</f>
        <v>0</v>
      </c>
      <c r="E22" s="21">
        <f>VALUE(IF(ISNA(VLOOKUP(B22,reportdata!C:L,10,FALSE)),0,VLOOKUP(B22,reportdata!C:L,10,FALSE)))</f>
        <v>0</v>
      </c>
      <c r="F22" s="21">
        <f>VALUE(IF(ISNA(VLOOKUP(B22,reportdata!C:O,13,FALSE)),0,VLOOKUP(B22,reportdata!C:O,13,FALSE)))</f>
        <v>0</v>
      </c>
      <c r="G22" s="21">
        <f>VALUE(IF(ISNA(VLOOKUP(B22,reportdata!C:P,14,FALSE)),0,VLOOKUP(B22,reportdata!C:P,14,FALSE)))</f>
        <v>0</v>
      </c>
      <c r="H22" s="21">
        <f>VALUE(IF(ISNA(VLOOKUP(B22,reportdata!C:R,16,FALSE)),0,VLOOKUP(B22,reportdata!C:R,16,FALSE)))</f>
        <v>0</v>
      </c>
      <c r="I22" s="21">
        <f t="shared" si="2"/>
        <v>0</v>
      </c>
      <c r="J22" s="21">
        <f t="shared" si="0"/>
        <v>0</v>
      </c>
      <c r="K22" s="21">
        <f t="shared" si="1"/>
        <v>0</v>
      </c>
      <c r="L22" s="1"/>
    </row>
    <row r="23" spans="2:12" ht="20.100000000000001" customHeight="1">
      <c r="B23" s="27">
        <v>41863</v>
      </c>
      <c r="C23" s="21">
        <f>VALUE(IF(ISNA(VLOOKUP(B23,reportdata!C:I,7,FALSE)),0,VLOOKUP(B23,reportdata!C:I,7,FALSE)))</f>
        <v>0</v>
      </c>
      <c r="D23" s="21">
        <f>VALUE(IF(ISNA(VLOOKUP(B23,reportdata!C:J,8,FALSE)),0,VLOOKUP(B23,reportdata!C:J,8,FALSE)))</f>
        <v>0</v>
      </c>
      <c r="E23" s="21">
        <f>VALUE(IF(ISNA(VLOOKUP(B23,reportdata!C:L,10,FALSE)),0,VLOOKUP(B23,reportdata!C:L,10,FALSE)))</f>
        <v>0</v>
      </c>
      <c r="F23" s="21">
        <f>VALUE(IF(ISNA(VLOOKUP(B23,reportdata!C:O,13,FALSE)),0,VLOOKUP(B23,reportdata!C:O,13,FALSE)))</f>
        <v>0</v>
      </c>
      <c r="G23" s="21">
        <f>VALUE(IF(ISNA(VLOOKUP(B23,reportdata!C:P,14,FALSE)),0,VLOOKUP(B23,reportdata!C:P,14,FALSE)))</f>
        <v>0</v>
      </c>
      <c r="H23" s="21">
        <f>VALUE(IF(ISNA(VLOOKUP(B23,reportdata!C:R,16,FALSE)),0,VLOOKUP(B23,reportdata!C:R,16,FALSE)))</f>
        <v>0</v>
      </c>
      <c r="I23" s="21">
        <f t="shared" si="2"/>
        <v>0</v>
      </c>
      <c r="J23" s="21">
        <f t="shared" si="0"/>
        <v>0</v>
      </c>
      <c r="K23" s="21">
        <f t="shared" si="1"/>
        <v>0</v>
      </c>
      <c r="L23" s="1"/>
    </row>
    <row r="24" spans="2:12" ht="20.100000000000001" customHeight="1">
      <c r="B24" s="27">
        <v>41864</v>
      </c>
      <c r="C24" s="21">
        <f>VALUE(IF(ISNA(VLOOKUP(B24,reportdata!C:I,7,FALSE)),0,VLOOKUP(B24,reportdata!C:I,7,FALSE)))</f>
        <v>0</v>
      </c>
      <c r="D24" s="21">
        <f>VALUE(IF(ISNA(VLOOKUP(B24,reportdata!C:J,8,FALSE)),0,VLOOKUP(B24,reportdata!C:J,8,FALSE)))</f>
        <v>0</v>
      </c>
      <c r="E24" s="21">
        <f>VALUE(IF(ISNA(VLOOKUP(B24,reportdata!C:L,10,FALSE)),0,VLOOKUP(B24,reportdata!C:L,10,FALSE)))</f>
        <v>0</v>
      </c>
      <c r="F24" s="21">
        <f>VALUE(IF(ISNA(VLOOKUP(B24,reportdata!C:O,13,FALSE)),0,VLOOKUP(B24,reportdata!C:O,13,FALSE)))</f>
        <v>0</v>
      </c>
      <c r="G24" s="21">
        <f>VALUE(IF(ISNA(VLOOKUP(B24,reportdata!C:P,14,FALSE)),0,VLOOKUP(B24,reportdata!C:P,14,FALSE)))</f>
        <v>0</v>
      </c>
      <c r="H24" s="21">
        <f>VALUE(IF(ISNA(VLOOKUP(B24,reportdata!C:R,16,FALSE)),0,VLOOKUP(B24,reportdata!C:R,16,FALSE)))</f>
        <v>0</v>
      </c>
      <c r="I24" s="21">
        <f t="shared" si="2"/>
        <v>0</v>
      </c>
      <c r="J24" s="21">
        <f t="shared" si="0"/>
        <v>0</v>
      </c>
      <c r="K24" s="21">
        <f t="shared" si="1"/>
        <v>0</v>
      </c>
      <c r="L24" s="1"/>
    </row>
    <row r="25" spans="2:12" ht="20.100000000000001" customHeight="1">
      <c r="B25" s="27">
        <v>41865</v>
      </c>
      <c r="C25" s="21">
        <f>VALUE(IF(ISNA(VLOOKUP(B25,reportdata!C:I,7,FALSE)),0,VLOOKUP(B25,reportdata!C:I,7,FALSE)))</f>
        <v>0</v>
      </c>
      <c r="D25" s="21">
        <f>VALUE(IF(ISNA(VLOOKUP(B25,reportdata!C:J,8,FALSE)),0,VLOOKUP(B25,reportdata!C:J,8,FALSE)))</f>
        <v>0</v>
      </c>
      <c r="E25" s="21">
        <f>VALUE(IF(ISNA(VLOOKUP(B25,reportdata!C:L,10,FALSE)),0,VLOOKUP(B25,reportdata!C:L,10,FALSE)))</f>
        <v>0</v>
      </c>
      <c r="F25" s="21">
        <f>VALUE(IF(ISNA(VLOOKUP(B25,reportdata!C:O,13,FALSE)),0,VLOOKUP(B25,reportdata!C:O,13,FALSE)))</f>
        <v>0</v>
      </c>
      <c r="G25" s="21">
        <f>VALUE(IF(ISNA(VLOOKUP(B25,reportdata!C:P,14,FALSE)),0,VLOOKUP(B25,reportdata!C:P,14,FALSE)))</f>
        <v>0</v>
      </c>
      <c r="H25" s="21">
        <f>VALUE(IF(ISNA(VLOOKUP(B25,reportdata!C:R,16,FALSE)),0,VLOOKUP(B25,reportdata!C:R,16,FALSE)))</f>
        <v>0</v>
      </c>
      <c r="I25" s="21">
        <f t="shared" si="2"/>
        <v>0</v>
      </c>
      <c r="J25" s="21">
        <f t="shared" si="0"/>
        <v>0</v>
      </c>
      <c r="K25" s="21">
        <f t="shared" si="1"/>
        <v>0</v>
      </c>
      <c r="L25" s="1"/>
    </row>
    <row r="26" spans="2:12" ht="20.100000000000001" customHeight="1">
      <c r="B26" s="27">
        <v>41866</v>
      </c>
      <c r="C26" s="21">
        <f>VALUE(IF(ISNA(VLOOKUP(B26,reportdata!C:I,7,FALSE)),0,VLOOKUP(B26,reportdata!C:I,7,FALSE)))</f>
        <v>0</v>
      </c>
      <c r="D26" s="21">
        <f>VALUE(IF(ISNA(VLOOKUP(B26,reportdata!C:J,8,FALSE)),0,VLOOKUP(B26,reportdata!C:J,8,FALSE)))</f>
        <v>0</v>
      </c>
      <c r="E26" s="21">
        <f>VALUE(IF(ISNA(VLOOKUP(B26,reportdata!C:L,10,FALSE)),0,VLOOKUP(B26,reportdata!C:L,10,FALSE)))</f>
        <v>0</v>
      </c>
      <c r="F26" s="21">
        <f>VALUE(IF(ISNA(VLOOKUP(B26,reportdata!C:O,13,FALSE)),0,VLOOKUP(B26,reportdata!C:O,13,FALSE)))</f>
        <v>0</v>
      </c>
      <c r="G26" s="21">
        <f>VALUE(IF(ISNA(VLOOKUP(B26,reportdata!C:P,14,FALSE)),0,VLOOKUP(B26,reportdata!C:P,14,FALSE)))</f>
        <v>0</v>
      </c>
      <c r="H26" s="21">
        <f>VALUE(IF(ISNA(VLOOKUP(B26,reportdata!C:R,16,FALSE)),0,VLOOKUP(B26,reportdata!C:R,16,FALSE)))</f>
        <v>0</v>
      </c>
      <c r="I26" s="21">
        <f t="shared" si="2"/>
        <v>0</v>
      </c>
      <c r="J26" s="21">
        <f t="shared" si="0"/>
        <v>0</v>
      </c>
      <c r="K26" s="21">
        <f t="shared" si="1"/>
        <v>0</v>
      </c>
      <c r="L26" s="1"/>
    </row>
    <row r="27" spans="2:12" ht="20.100000000000001" customHeight="1">
      <c r="B27" s="27">
        <v>41867</v>
      </c>
      <c r="C27" s="21">
        <f>VALUE(IF(ISNA(VLOOKUP(B27,reportdata!C:I,7,FALSE)),0,VLOOKUP(B27,reportdata!C:I,7,FALSE)))</f>
        <v>0</v>
      </c>
      <c r="D27" s="21">
        <f>VALUE(IF(ISNA(VLOOKUP(B27,reportdata!C:J,8,FALSE)),0,VLOOKUP(B27,reportdata!C:J,8,FALSE)))</f>
        <v>0</v>
      </c>
      <c r="E27" s="21">
        <f>VALUE(IF(ISNA(VLOOKUP(B27,reportdata!C:L,10,FALSE)),0,VLOOKUP(B27,reportdata!C:L,10,FALSE)))</f>
        <v>0</v>
      </c>
      <c r="F27" s="21">
        <f>VALUE(IF(ISNA(VLOOKUP(B27,reportdata!C:O,13,FALSE)),0,VLOOKUP(B27,reportdata!C:O,13,FALSE)))</f>
        <v>0</v>
      </c>
      <c r="G27" s="21">
        <f>VALUE(IF(ISNA(VLOOKUP(B27,reportdata!C:P,14,FALSE)),0,VLOOKUP(B27,reportdata!C:P,14,FALSE)))</f>
        <v>0</v>
      </c>
      <c r="H27" s="21">
        <f>VALUE(IF(ISNA(VLOOKUP(B27,reportdata!C:R,16,FALSE)),0,VLOOKUP(B27,reportdata!C:R,16,FALSE)))</f>
        <v>0</v>
      </c>
      <c r="I27" s="21">
        <f t="shared" si="2"/>
        <v>0</v>
      </c>
      <c r="J27" s="21">
        <f t="shared" si="0"/>
        <v>0</v>
      </c>
      <c r="K27" s="21">
        <f t="shared" si="1"/>
        <v>0</v>
      </c>
      <c r="L27" s="1"/>
    </row>
    <row r="28" spans="2:12" ht="20.100000000000001" customHeight="1">
      <c r="B28" s="27">
        <v>41868</v>
      </c>
      <c r="C28" s="21">
        <f>VALUE(IF(ISNA(VLOOKUP(B28,reportdata!C:I,7,FALSE)),0,VLOOKUP(B28,reportdata!C:I,7,FALSE)))</f>
        <v>0</v>
      </c>
      <c r="D28" s="21">
        <f>VALUE(IF(ISNA(VLOOKUP(B28,reportdata!C:J,8,FALSE)),0,VLOOKUP(B28,reportdata!C:J,8,FALSE)))</f>
        <v>0</v>
      </c>
      <c r="E28" s="21">
        <f>VALUE(IF(ISNA(VLOOKUP(B28,reportdata!C:L,10,FALSE)),0,VLOOKUP(B28,reportdata!C:L,10,FALSE)))</f>
        <v>0</v>
      </c>
      <c r="F28" s="21">
        <f>VALUE(IF(ISNA(VLOOKUP(B28,reportdata!C:O,13,FALSE)),0,VLOOKUP(B28,reportdata!C:O,13,FALSE)))</f>
        <v>0</v>
      </c>
      <c r="G28" s="21">
        <f>VALUE(IF(ISNA(VLOOKUP(B28,reportdata!C:P,14,FALSE)),0,VLOOKUP(B28,reportdata!C:P,14,FALSE)))</f>
        <v>0</v>
      </c>
      <c r="H28" s="21">
        <f>VALUE(IF(ISNA(VLOOKUP(B28,reportdata!C:R,16,FALSE)),0,VLOOKUP(B28,reportdata!C:R,16,FALSE)))</f>
        <v>0</v>
      </c>
      <c r="I28" s="21">
        <f t="shared" si="2"/>
        <v>0</v>
      </c>
      <c r="J28" s="21">
        <f t="shared" si="0"/>
        <v>0</v>
      </c>
      <c r="K28" s="21">
        <f t="shared" si="1"/>
        <v>0</v>
      </c>
      <c r="L28" s="1"/>
    </row>
    <row r="29" spans="2:12" ht="20.100000000000001" customHeight="1">
      <c r="B29" s="27">
        <v>41869</v>
      </c>
      <c r="C29" s="21">
        <f>VALUE(IF(ISNA(VLOOKUP(B29,reportdata!C:I,7,FALSE)),0,VLOOKUP(B29,reportdata!C:I,7,FALSE)))</f>
        <v>0</v>
      </c>
      <c r="D29" s="21">
        <f>VALUE(IF(ISNA(VLOOKUP(B29,reportdata!C:J,8,FALSE)),0,VLOOKUP(B29,reportdata!C:J,8,FALSE)))</f>
        <v>0</v>
      </c>
      <c r="E29" s="21">
        <f>VALUE(IF(ISNA(VLOOKUP(B29,reportdata!C:L,10,FALSE)),0,VLOOKUP(B29,reportdata!C:L,10,FALSE)))</f>
        <v>0</v>
      </c>
      <c r="F29" s="21">
        <f>VALUE(IF(ISNA(VLOOKUP(B29,reportdata!C:O,13,FALSE)),0,VLOOKUP(B29,reportdata!C:O,13,FALSE)))</f>
        <v>0</v>
      </c>
      <c r="G29" s="21">
        <f>VALUE(IF(ISNA(VLOOKUP(B29,reportdata!C:P,14,FALSE)),0,VLOOKUP(B29,reportdata!C:P,14,FALSE)))</f>
        <v>0</v>
      </c>
      <c r="H29" s="21">
        <f>VALUE(IF(ISNA(VLOOKUP(B29,reportdata!C:R,16,FALSE)),0,VLOOKUP(B29,reportdata!C:R,16,FALSE)))</f>
        <v>0</v>
      </c>
      <c r="I29" s="21">
        <f t="shared" si="2"/>
        <v>0</v>
      </c>
      <c r="J29" s="21">
        <f t="shared" si="0"/>
        <v>0</v>
      </c>
      <c r="K29" s="21">
        <f t="shared" si="1"/>
        <v>0</v>
      </c>
      <c r="L29" s="1"/>
    </row>
    <row r="30" spans="2:12" ht="20.100000000000001" customHeight="1">
      <c r="B30" s="27">
        <v>41870</v>
      </c>
      <c r="C30" s="21">
        <f>VALUE(IF(ISNA(VLOOKUP(B30,reportdata!C:I,7,FALSE)),0,VLOOKUP(B30,reportdata!C:I,7,FALSE)))</f>
        <v>0</v>
      </c>
      <c r="D30" s="21">
        <f>VALUE(IF(ISNA(VLOOKUP(B30,reportdata!C:J,8,FALSE)),0,VLOOKUP(B30,reportdata!C:J,8,FALSE)))</f>
        <v>0</v>
      </c>
      <c r="E30" s="21">
        <f>VALUE(IF(ISNA(VLOOKUP(B30,reportdata!C:L,10,FALSE)),0,VLOOKUP(B30,reportdata!C:L,10,FALSE)))</f>
        <v>0</v>
      </c>
      <c r="F30" s="21">
        <f>VALUE(IF(ISNA(VLOOKUP(B30,reportdata!C:O,13,FALSE)),0,VLOOKUP(B30,reportdata!C:O,13,FALSE)))</f>
        <v>0</v>
      </c>
      <c r="G30" s="21">
        <f>VALUE(IF(ISNA(VLOOKUP(B30,reportdata!C:P,14,FALSE)),0,VLOOKUP(B30,reportdata!C:P,14,FALSE)))</f>
        <v>0</v>
      </c>
      <c r="H30" s="21">
        <f>VALUE(IF(ISNA(VLOOKUP(B30,reportdata!C:R,16,FALSE)),0,VLOOKUP(B30,reportdata!C:R,16,FALSE)))</f>
        <v>0</v>
      </c>
      <c r="I30" s="21">
        <f t="shared" si="2"/>
        <v>0</v>
      </c>
      <c r="J30" s="21">
        <f t="shared" si="0"/>
        <v>0</v>
      </c>
      <c r="K30" s="21">
        <f t="shared" si="1"/>
        <v>0</v>
      </c>
      <c r="L30" s="1"/>
    </row>
    <row r="31" spans="2:12" ht="20.100000000000001" customHeight="1">
      <c r="B31" s="27">
        <v>41871</v>
      </c>
      <c r="C31" s="21">
        <f>VALUE(IF(ISNA(VLOOKUP(B31,reportdata!C:I,7,FALSE)),0,VLOOKUP(B31,reportdata!C:I,7,FALSE)))</f>
        <v>0</v>
      </c>
      <c r="D31" s="21">
        <f>VALUE(IF(ISNA(VLOOKUP(B31,reportdata!C:J,8,FALSE)),0,VLOOKUP(B31,reportdata!C:J,8,FALSE)))</f>
        <v>0</v>
      </c>
      <c r="E31" s="21">
        <f>VALUE(IF(ISNA(VLOOKUP(B31,reportdata!C:L,10,FALSE)),0,VLOOKUP(B31,reportdata!C:L,10,FALSE)))</f>
        <v>0</v>
      </c>
      <c r="F31" s="21">
        <f>VALUE(IF(ISNA(VLOOKUP(B31,reportdata!C:O,13,FALSE)),0,VLOOKUP(B31,reportdata!C:O,13,FALSE)))</f>
        <v>0</v>
      </c>
      <c r="G31" s="21">
        <f>VALUE(IF(ISNA(VLOOKUP(B31,reportdata!C:P,14,FALSE)),0,VLOOKUP(B31,reportdata!C:P,14,FALSE)))</f>
        <v>0</v>
      </c>
      <c r="H31" s="21">
        <f>VALUE(IF(ISNA(VLOOKUP(B31,reportdata!C:R,16,FALSE)),0,VLOOKUP(B31,reportdata!C:R,16,FALSE)))</f>
        <v>0</v>
      </c>
      <c r="I31" s="21">
        <f t="shared" si="2"/>
        <v>0</v>
      </c>
      <c r="J31" s="21">
        <f t="shared" si="0"/>
        <v>0</v>
      </c>
      <c r="K31" s="21">
        <f t="shared" si="1"/>
        <v>0</v>
      </c>
      <c r="L31" s="1"/>
    </row>
    <row r="32" spans="2:12" ht="20.100000000000001" customHeight="1">
      <c r="B32" s="27">
        <v>41872</v>
      </c>
      <c r="C32" s="21">
        <f>VALUE(IF(ISNA(VLOOKUP(B32,reportdata!C:I,7,FALSE)),0,VLOOKUP(B32,reportdata!C:I,7,FALSE)))</f>
        <v>0</v>
      </c>
      <c r="D32" s="21">
        <f>VALUE(IF(ISNA(VLOOKUP(B32,reportdata!C:J,8,FALSE)),0,VLOOKUP(B32,reportdata!C:J,8,FALSE)))</f>
        <v>0</v>
      </c>
      <c r="E32" s="21">
        <f>VALUE(IF(ISNA(VLOOKUP(B32,reportdata!C:L,10,FALSE)),0,VLOOKUP(B32,reportdata!C:L,10,FALSE)))</f>
        <v>0</v>
      </c>
      <c r="F32" s="21">
        <f>VALUE(IF(ISNA(VLOOKUP(B32,reportdata!C:O,13,FALSE)),0,VLOOKUP(B32,reportdata!C:O,13,FALSE)))</f>
        <v>0</v>
      </c>
      <c r="G32" s="21">
        <f>VALUE(IF(ISNA(VLOOKUP(B32,reportdata!C:P,14,FALSE)),0,VLOOKUP(B32,reportdata!C:P,14,FALSE)))</f>
        <v>0</v>
      </c>
      <c r="H32" s="21">
        <f>VALUE(IF(ISNA(VLOOKUP(B32,reportdata!C:R,16,FALSE)),0,VLOOKUP(B32,reportdata!C:R,16,FALSE)))</f>
        <v>0</v>
      </c>
      <c r="I32" s="21">
        <f t="shared" si="2"/>
        <v>0</v>
      </c>
      <c r="J32" s="21">
        <f t="shared" si="0"/>
        <v>0</v>
      </c>
      <c r="K32" s="21">
        <f t="shared" si="1"/>
        <v>0</v>
      </c>
      <c r="L32" s="1"/>
    </row>
    <row r="33" spans="2:12" ht="20.100000000000001" customHeight="1">
      <c r="B33" s="27">
        <v>41873</v>
      </c>
      <c r="C33" s="21">
        <f>VALUE(IF(ISNA(VLOOKUP(B33,reportdata!C:I,7,FALSE)),0,VLOOKUP(B33,reportdata!C:I,7,FALSE)))</f>
        <v>0</v>
      </c>
      <c r="D33" s="21">
        <f>VALUE(IF(ISNA(VLOOKUP(B33,reportdata!C:J,8,FALSE)),0,VLOOKUP(B33,reportdata!C:J,8,FALSE)))</f>
        <v>0</v>
      </c>
      <c r="E33" s="21">
        <f>VALUE(IF(ISNA(VLOOKUP(B33,reportdata!C:L,10,FALSE)),0,VLOOKUP(B33,reportdata!C:L,10,FALSE)))</f>
        <v>0</v>
      </c>
      <c r="F33" s="21">
        <f>VALUE(IF(ISNA(VLOOKUP(B33,reportdata!C:O,13,FALSE)),0,VLOOKUP(B33,reportdata!C:O,13,FALSE)))</f>
        <v>0</v>
      </c>
      <c r="G33" s="21">
        <f>VALUE(IF(ISNA(VLOOKUP(B33,reportdata!C:P,14,FALSE)),0,VLOOKUP(B33,reportdata!C:P,14,FALSE)))</f>
        <v>0</v>
      </c>
      <c r="H33" s="21">
        <f>VALUE(IF(ISNA(VLOOKUP(B33,reportdata!C:R,16,FALSE)),0,VLOOKUP(B33,reportdata!C:R,16,FALSE)))</f>
        <v>0</v>
      </c>
      <c r="I33" s="21">
        <f t="shared" si="2"/>
        <v>0</v>
      </c>
      <c r="J33" s="21">
        <f t="shared" si="0"/>
        <v>0</v>
      </c>
      <c r="K33" s="21">
        <f t="shared" si="1"/>
        <v>0</v>
      </c>
      <c r="L33" s="1"/>
    </row>
    <row r="34" spans="2:12" ht="20.100000000000001" customHeight="1">
      <c r="B34" s="27">
        <v>41874</v>
      </c>
      <c r="C34" s="21">
        <f>VALUE(IF(ISNA(VLOOKUP(B34,reportdata!C:I,7,FALSE)),0,VLOOKUP(B34,reportdata!C:I,7,FALSE)))</f>
        <v>0</v>
      </c>
      <c r="D34" s="21">
        <f>VALUE(IF(ISNA(VLOOKUP(B34,reportdata!C:J,8,FALSE)),0,VLOOKUP(B34,reportdata!C:J,8,FALSE)))</f>
        <v>0</v>
      </c>
      <c r="E34" s="21">
        <f>VALUE(IF(ISNA(VLOOKUP(B34,reportdata!C:L,10,FALSE)),0,VLOOKUP(B34,reportdata!C:L,10,FALSE)))</f>
        <v>0</v>
      </c>
      <c r="F34" s="21">
        <f>VALUE(IF(ISNA(VLOOKUP(B34,reportdata!C:O,13,FALSE)),0,VLOOKUP(B34,reportdata!C:O,13,FALSE)))</f>
        <v>0</v>
      </c>
      <c r="G34" s="21">
        <f>VALUE(IF(ISNA(VLOOKUP(B34,reportdata!C:P,14,FALSE)),0,VLOOKUP(B34,reportdata!C:P,14,FALSE)))</f>
        <v>0</v>
      </c>
      <c r="H34" s="21">
        <f>VALUE(IF(ISNA(VLOOKUP(B34,reportdata!C:R,16,FALSE)),0,VLOOKUP(B34,reportdata!C:R,16,FALSE)))</f>
        <v>0</v>
      </c>
      <c r="I34" s="21">
        <f t="shared" si="2"/>
        <v>0</v>
      </c>
      <c r="J34" s="21">
        <f t="shared" si="0"/>
        <v>0</v>
      </c>
      <c r="K34" s="21">
        <f t="shared" si="1"/>
        <v>0</v>
      </c>
      <c r="L34" s="1"/>
    </row>
    <row r="35" spans="2:12" ht="20.100000000000001" customHeight="1">
      <c r="B35" s="27">
        <v>41875</v>
      </c>
      <c r="C35" s="21">
        <f>VALUE(IF(ISNA(VLOOKUP(B35,reportdata!C:I,7,FALSE)),0,VLOOKUP(B35,reportdata!C:I,7,FALSE)))</f>
        <v>0</v>
      </c>
      <c r="D35" s="21">
        <f>VALUE(IF(ISNA(VLOOKUP(B35,reportdata!C:J,8,FALSE)),0,VLOOKUP(B35,reportdata!C:J,8,FALSE)))</f>
        <v>0</v>
      </c>
      <c r="E35" s="21">
        <f>VALUE(IF(ISNA(VLOOKUP(B35,reportdata!C:L,10,FALSE)),0,VLOOKUP(B35,reportdata!C:L,10,FALSE)))</f>
        <v>0</v>
      </c>
      <c r="F35" s="21">
        <f>VALUE(IF(ISNA(VLOOKUP(B35,reportdata!C:O,13,FALSE)),0,VLOOKUP(B35,reportdata!C:O,13,FALSE)))</f>
        <v>0</v>
      </c>
      <c r="G35" s="21">
        <f>VALUE(IF(ISNA(VLOOKUP(B35,reportdata!C:P,14,FALSE)),0,VLOOKUP(B35,reportdata!C:P,14,FALSE)))</f>
        <v>0</v>
      </c>
      <c r="H35" s="21">
        <f>VALUE(IF(ISNA(VLOOKUP(B35,reportdata!C:R,16,FALSE)),0,VLOOKUP(B35,reportdata!C:R,16,FALSE)))</f>
        <v>0</v>
      </c>
      <c r="I35" s="21">
        <f t="shared" si="2"/>
        <v>0</v>
      </c>
      <c r="J35" s="21">
        <f t="shared" si="0"/>
        <v>0</v>
      </c>
      <c r="K35" s="21">
        <f t="shared" si="1"/>
        <v>0</v>
      </c>
      <c r="L35" s="1"/>
    </row>
    <row r="36" spans="2:12" ht="20.100000000000001" customHeight="1">
      <c r="B36" s="27">
        <v>41876</v>
      </c>
      <c r="C36" s="21">
        <f>VALUE(IF(ISNA(VLOOKUP(B36,reportdata!C:I,7,FALSE)),0,VLOOKUP(B36,reportdata!C:I,7,FALSE)))</f>
        <v>0</v>
      </c>
      <c r="D36" s="21">
        <f>VALUE(IF(ISNA(VLOOKUP(B36,reportdata!C:J,8,FALSE)),0,VLOOKUP(B36,reportdata!C:J,8,FALSE)))</f>
        <v>0</v>
      </c>
      <c r="E36" s="21">
        <f>VALUE(IF(ISNA(VLOOKUP(B36,reportdata!C:L,10,FALSE)),0,VLOOKUP(B36,reportdata!C:L,10,FALSE)))</f>
        <v>0</v>
      </c>
      <c r="F36" s="21">
        <f>VALUE(IF(ISNA(VLOOKUP(B36,reportdata!C:O,13,FALSE)),0,VLOOKUP(B36,reportdata!C:O,13,FALSE)))</f>
        <v>0</v>
      </c>
      <c r="G36" s="21">
        <f>VALUE(IF(ISNA(VLOOKUP(B36,reportdata!C:P,14,FALSE)),0,VLOOKUP(B36,reportdata!C:P,14,FALSE)))</f>
        <v>0</v>
      </c>
      <c r="H36" s="21">
        <f>VALUE(IF(ISNA(VLOOKUP(B36,reportdata!C:R,16,FALSE)),0,VLOOKUP(B36,reportdata!C:R,16,FALSE)))</f>
        <v>0</v>
      </c>
      <c r="I36" s="21">
        <f t="shared" si="2"/>
        <v>0</v>
      </c>
      <c r="J36" s="21">
        <f t="shared" si="0"/>
        <v>0</v>
      </c>
      <c r="K36" s="21">
        <f t="shared" si="1"/>
        <v>0</v>
      </c>
      <c r="L36" s="1"/>
    </row>
    <row r="37" spans="2:12" ht="20.100000000000001" customHeight="1">
      <c r="B37" s="27">
        <v>41877</v>
      </c>
      <c r="C37" s="21">
        <f>VALUE(IF(ISNA(VLOOKUP(B37,reportdata!C:I,7,FALSE)),0,VLOOKUP(B37,reportdata!C:I,7,FALSE)))</f>
        <v>0</v>
      </c>
      <c r="D37" s="21">
        <f>VALUE(IF(ISNA(VLOOKUP(B37,reportdata!C:J,8,FALSE)),0,VLOOKUP(B37,reportdata!C:J,8,FALSE)))</f>
        <v>0</v>
      </c>
      <c r="E37" s="21">
        <f>VALUE(IF(ISNA(VLOOKUP(B37,reportdata!C:L,10,FALSE)),0,VLOOKUP(B37,reportdata!C:L,10,FALSE)))</f>
        <v>0</v>
      </c>
      <c r="F37" s="21">
        <f>VALUE(IF(ISNA(VLOOKUP(B37,reportdata!C:O,13,FALSE)),0,VLOOKUP(B37,reportdata!C:O,13,FALSE)))</f>
        <v>0</v>
      </c>
      <c r="G37" s="21">
        <f>VALUE(IF(ISNA(VLOOKUP(B37,reportdata!C:P,14,FALSE)),0,VLOOKUP(B37,reportdata!C:P,14,FALSE)))</f>
        <v>0</v>
      </c>
      <c r="H37" s="21">
        <f>VALUE(IF(ISNA(VLOOKUP(B37,reportdata!C:R,16,FALSE)),0,VLOOKUP(B37,reportdata!C:R,16,FALSE)))</f>
        <v>0</v>
      </c>
      <c r="I37" s="21">
        <f t="shared" si="2"/>
        <v>0</v>
      </c>
      <c r="J37" s="21">
        <f t="shared" si="0"/>
        <v>0</v>
      </c>
      <c r="K37" s="21">
        <f t="shared" si="1"/>
        <v>0</v>
      </c>
      <c r="L37" s="1"/>
    </row>
    <row r="38" spans="2:12" ht="20.100000000000001" customHeight="1">
      <c r="B38" s="27">
        <v>41878</v>
      </c>
      <c r="C38" s="21">
        <f>VALUE(IF(ISNA(VLOOKUP(B38,reportdata!C:I,7,FALSE)),0,VLOOKUP(B38,reportdata!C:I,7,FALSE)))</f>
        <v>0</v>
      </c>
      <c r="D38" s="21">
        <f>VALUE(IF(ISNA(VLOOKUP(B38,reportdata!C:J,8,FALSE)),0,VLOOKUP(B38,reportdata!C:J,8,FALSE)))</f>
        <v>0</v>
      </c>
      <c r="E38" s="21">
        <f>VALUE(IF(ISNA(VLOOKUP(B38,reportdata!C:L,10,FALSE)),0,VLOOKUP(B38,reportdata!C:L,10,FALSE)))</f>
        <v>0</v>
      </c>
      <c r="F38" s="21">
        <f>VALUE(IF(ISNA(VLOOKUP(B38,reportdata!C:O,13,FALSE)),0,VLOOKUP(B38,reportdata!C:O,13,FALSE)))</f>
        <v>0</v>
      </c>
      <c r="G38" s="21">
        <f>VALUE(IF(ISNA(VLOOKUP(B38,reportdata!C:P,14,FALSE)),0,VLOOKUP(B38,reportdata!C:P,14,FALSE)))</f>
        <v>0</v>
      </c>
      <c r="H38" s="21">
        <f>VALUE(IF(ISNA(VLOOKUP(B38,reportdata!C:R,16,FALSE)),0,VLOOKUP(B38,reportdata!C:R,16,FALSE)))</f>
        <v>0</v>
      </c>
      <c r="I38" s="21">
        <f t="shared" si="2"/>
        <v>0</v>
      </c>
      <c r="J38" s="21">
        <f t="shared" si="0"/>
        <v>0</v>
      </c>
      <c r="K38" s="21">
        <f t="shared" si="1"/>
        <v>0</v>
      </c>
      <c r="L38" s="1"/>
    </row>
    <row r="39" spans="2:12" ht="20.100000000000001" customHeight="1">
      <c r="B39" s="27">
        <v>41879</v>
      </c>
      <c r="C39" s="21">
        <f>VALUE(IF(ISNA(VLOOKUP(B39,reportdata!C:I,7,FALSE)),0,VLOOKUP(B39,reportdata!C:I,7,FALSE)))</f>
        <v>0</v>
      </c>
      <c r="D39" s="21">
        <f>VALUE(IF(ISNA(VLOOKUP(B39,reportdata!C:J,8,FALSE)),0,VLOOKUP(B39,reportdata!C:J,8,FALSE)))</f>
        <v>0</v>
      </c>
      <c r="E39" s="21">
        <f>VALUE(IF(ISNA(VLOOKUP(B39,reportdata!C:L,10,FALSE)),0,VLOOKUP(B39,reportdata!C:L,10,FALSE)))</f>
        <v>0</v>
      </c>
      <c r="F39" s="21">
        <f>VALUE(IF(ISNA(VLOOKUP(B39,reportdata!C:O,13,FALSE)),0,VLOOKUP(B39,reportdata!C:O,13,FALSE)))</f>
        <v>0</v>
      </c>
      <c r="G39" s="21">
        <f>VALUE(IF(ISNA(VLOOKUP(B39,reportdata!C:P,14,FALSE)),0,VLOOKUP(B39,reportdata!C:P,14,FALSE)))</f>
        <v>0</v>
      </c>
      <c r="H39" s="21">
        <f>VALUE(IF(ISNA(VLOOKUP(B39,reportdata!C:R,16,FALSE)),0,VLOOKUP(B39,reportdata!C:R,16,FALSE)))</f>
        <v>0</v>
      </c>
      <c r="I39" s="21">
        <f t="shared" si="2"/>
        <v>0</v>
      </c>
      <c r="J39" s="21">
        <f t="shared" si="0"/>
        <v>0</v>
      </c>
      <c r="K39" s="21">
        <f t="shared" si="1"/>
        <v>0</v>
      </c>
      <c r="L39" s="1"/>
    </row>
    <row r="40" spans="2:12" ht="20.100000000000001" customHeight="1">
      <c r="B40" s="27">
        <v>41880</v>
      </c>
      <c r="C40" s="21">
        <f>VALUE(IF(ISNA(VLOOKUP(B40,reportdata!C:I,7,FALSE)),0,VLOOKUP(B40,reportdata!C:I,7,FALSE)))</f>
        <v>0</v>
      </c>
      <c r="D40" s="21">
        <f>VALUE(IF(ISNA(VLOOKUP(B40,reportdata!C:J,8,FALSE)),0,VLOOKUP(B40,reportdata!C:J,8,FALSE)))</f>
        <v>0</v>
      </c>
      <c r="E40" s="21">
        <f>VALUE(IF(ISNA(VLOOKUP(B40,reportdata!C:L,10,FALSE)),0,VLOOKUP(B40,reportdata!C:L,10,FALSE)))</f>
        <v>0</v>
      </c>
      <c r="F40" s="21">
        <f>VALUE(IF(ISNA(VLOOKUP(B40,reportdata!C:O,13,FALSE)),0,VLOOKUP(B40,reportdata!C:O,13,FALSE)))</f>
        <v>0</v>
      </c>
      <c r="G40" s="21">
        <f>VALUE(IF(ISNA(VLOOKUP(B40,reportdata!C:P,14,FALSE)),0,VLOOKUP(B40,reportdata!C:P,14,FALSE)))</f>
        <v>0</v>
      </c>
      <c r="H40" s="21">
        <f>VALUE(IF(ISNA(VLOOKUP(B40,reportdata!C:R,16,FALSE)),0,VLOOKUP(B40,reportdata!C:R,16,FALSE)))</f>
        <v>0</v>
      </c>
      <c r="I40" s="21">
        <f t="shared" si="2"/>
        <v>0</v>
      </c>
      <c r="J40" s="21">
        <f t="shared" si="0"/>
        <v>0</v>
      </c>
      <c r="K40" s="21">
        <f t="shared" si="1"/>
        <v>0</v>
      </c>
      <c r="L40" s="1"/>
    </row>
    <row r="41" spans="2:12" ht="20.100000000000001" customHeight="1">
      <c r="B41" s="27">
        <v>41881</v>
      </c>
      <c r="C41" s="21">
        <f>VALUE(IF(ISNA(VLOOKUP(B41,reportdata!C:I,7,FALSE)),0,VLOOKUP(B41,reportdata!C:I,7,FALSE)))</f>
        <v>0</v>
      </c>
      <c r="D41" s="21">
        <f>VALUE(IF(ISNA(VLOOKUP(B41,reportdata!C:J,8,FALSE)),0,VLOOKUP(B41,reportdata!C:J,8,FALSE)))</f>
        <v>0</v>
      </c>
      <c r="E41" s="21">
        <f>VALUE(IF(ISNA(VLOOKUP(B41,reportdata!C:L,10,FALSE)),0,VLOOKUP(B41,reportdata!C:L,10,FALSE)))</f>
        <v>0</v>
      </c>
      <c r="F41" s="21">
        <f>VALUE(IF(ISNA(VLOOKUP(B41,reportdata!C:O,13,FALSE)),0,VLOOKUP(B41,reportdata!C:O,13,FALSE)))</f>
        <v>0</v>
      </c>
      <c r="G41" s="21">
        <f>VALUE(IF(ISNA(VLOOKUP(B41,reportdata!C:P,14,FALSE)),0,VLOOKUP(B41,reportdata!C:P,14,FALSE)))</f>
        <v>0</v>
      </c>
      <c r="H41" s="21">
        <f>VALUE(IF(ISNA(VLOOKUP(B41,reportdata!C:R,16,FALSE)),0,VLOOKUP(B41,reportdata!C:R,16,FALSE)))</f>
        <v>0</v>
      </c>
      <c r="I41" s="21">
        <f t="shared" si="2"/>
        <v>0</v>
      </c>
      <c r="J41" s="21">
        <f t="shared" si="0"/>
        <v>0</v>
      </c>
      <c r="K41" s="21">
        <f t="shared" si="1"/>
        <v>0</v>
      </c>
      <c r="L41" s="1"/>
    </row>
    <row r="42" spans="2:12" ht="20.100000000000001" customHeight="1">
      <c r="B42" s="27">
        <v>41882</v>
      </c>
      <c r="C42" s="21">
        <f>VALUE(IF(ISNA(VLOOKUP(B42,reportdata!C:I,7,FALSE)),0,VLOOKUP(B42,reportdata!C:I,7,FALSE)))</f>
        <v>0</v>
      </c>
      <c r="D42" s="21">
        <f>VALUE(IF(ISNA(VLOOKUP(B42,reportdata!C:J,8,FALSE)),0,VLOOKUP(B42,reportdata!C:J,8,FALSE)))</f>
        <v>0</v>
      </c>
      <c r="E42" s="21">
        <f>VALUE(IF(ISNA(VLOOKUP(B42,reportdata!C:L,10,FALSE)),0,VLOOKUP(B42,reportdata!C:L,10,FALSE)))</f>
        <v>0</v>
      </c>
      <c r="F42" s="21">
        <f>VALUE(IF(ISNA(VLOOKUP(B42,reportdata!C:O,13,FALSE)),0,VLOOKUP(B42,reportdata!C:O,13,FALSE)))</f>
        <v>0</v>
      </c>
      <c r="G42" s="21">
        <f>VALUE(IF(ISNA(VLOOKUP(B42,reportdata!C:P,14,FALSE)),0,VLOOKUP(B42,reportdata!C:P,14,FALSE)))</f>
        <v>0</v>
      </c>
      <c r="H42" s="21">
        <f>VALUE(IF(ISNA(VLOOKUP(B42,reportdata!C:R,16,FALSE)),0,VLOOKUP(B42,reportdata!C:R,16,FALSE)))</f>
        <v>0</v>
      </c>
      <c r="I42" s="21">
        <f>C42+F42</f>
        <v>0</v>
      </c>
      <c r="J42" s="21">
        <f t="shared" si="0"/>
        <v>0</v>
      </c>
      <c r="K42" s="21">
        <f t="shared" si="1"/>
        <v>0</v>
      </c>
      <c r="L42" s="1"/>
    </row>
    <row r="43" spans="2:12" ht="24.75" customHeight="1">
      <c r="B43" s="6" t="s">
        <v>1</v>
      </c>
      <c r="C43" s="26">
        <f>SUM(C12:C42)</f>
        <v>7</v>
      </c>
      <c r="D43" s="4">
        <f t="shared" ref="D43:K43" si="3">SUM(D12:D42)</f>
        <v>170</v>
      </c>
      <c r="E43" s="4">
        <f t="shared" si="3"/>
        <v>195</v>
      </c>
      <c r="F43" s="4">
        <f t="shared" si="3"/>
        <v>7</v>
      </c>
      <c r="G43" s="4">
        <f t="shared" si="3"/>
        <v>192</v>
      </c>
      <c r="H43" s="4">
        <f t="shared" si="3"/>
        <v>215</v>
      </c>
      <c r="I43" s="4">
        <f t="shared" si="3"/>
        <v>14</v>
      </c>
      <c r="J43" s="4">
        <f t="shared" si="3"/>
        <v>362</v>
      </c>
      <c r="K43" s="4">
        <f t="shared" si="3"/>
        <v>410</v>
      </c>
      <c r="L43" s="7"/>
    </row>
    <row r="44" spans="2:12" ht="70.5" customHeight="1">
      <c r="B44" s="59" t="s">
        <v>14</v>
      </c>
      <c r="C44" s="60"/>
      <c r="D44" s="60"/>
      <c r="E44" s="60"/>
      <c r="F44" s="60"/>
      <c r="G44" s="60"/>
      <c r="H44" s="60"/>
      <c r="I44" s="60"/>
      <c r="J44" s="60"/>
      <c r="K44" s="60"/>
      <c r="L44" s="61"/>
    </row>
  </sheetData>
  <mergeCells count="10">
    <mergeCell ref="B10:B11"/>
    <mergeCell ref="C10:E10"/>
    <mergeCell ref="F10:H10"/>
    <mergeCell ref="I10:K10"/>
    <mergeCell ref="B44:L44"/>
    <mergeCell ref="B4:L4"/>
    <mergeCell ref="G5:L5"/>
    <mergeCell ref="G8:H8"/>
    <mergeCell ref="G9:I9"/>
    <mergeCell ref="B6:F9"/>
  </mergeCells>
  <pageMargins left="0.23622047244094491" right="0.23622047244094491" top="0.74803149606299213" bottom="0.74803149606299213" header="0.31496062992125984" footer="0.31496062992125984"/>
  <pageSetup paperSize="9" scale="81" orientation="portrait" horizontalDpi="300" verticalDpi="300" r:id="rId1"/>
  <legacyDrawing r:id="rId2"/>
  <controls>
    <control shapeId="1031" r:id="rId3" name="cbxMonth"/>
    <control shapeId="1032" r:id="rId4" name="cbxSchoo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4:L44"/>
  <sheetViews>
    <sheetView showGridLines="0" workbookViewId="0">
      <selection activeCell="H6" sqref="H6"/>
    </sheetView>
  </sheetViews>
  <sheetFormatPr defaultRowHeight="15"/>
  <cols>
    <col min="2" max="2" width="10.28515625" customWidth="1"/>
    <col min="3" max="10" width="9.140625" style="22"/>
    <col min="11" max="11" width="9.28515625" style="22" customWidth="1"/>
    <col min="12" max="12" width="29" customWidth="1"/>
    <col min="14" max="14" width="13" customWidth="1"/>
  </cols>
  <sheetData>
    <row r="4" spans="2:12" ht="28.5" customHeight="1">
      <c r="B4" s="35" t="s">
        <v>2</v>
      </c>
      <c r="C4" s="36"/>
      <c r="D4" s="36"/>
      <c r="E4" s="36"/>
      <c r="F4" s="36"/>
      <c r="G4" s="36"/>
      <c r="H4" s="36"/>
      <c r="I4" s="36"/>
      <c r="J4" s="36"/>
      <c r="K4" s="36"/>
      <c r="L4" s="37"/>
    </row>
    <row r="5" spans="2:12" ht="21" customHeight="1">
      <c r="B5" s="11" t="s">
        <v>9</v>
      </c>
      <c r="C5" s="20"/>
      <c r="D5" s="20"/>
      <c r="E5" s="20"/>
      <c r="F5" s="20"/>
      <c r="G5" s="38" t="s">
        <v>8</v>
      </c>
      <c r="H5" s="38"/>
      <c r="I5" s="38"/>
      <c r="J5" s="38"/>
      <c r="K5" s="38"/>
      <c r="L5" s="39"/>
    </row>
    <row r="6" spans="2:12">
      <c r="B6" s="44" t="str">
        <f>'1-7Report'!B6:F9</f>
        <v>Govt school, rajajinagar</v>
      </c>
      <c r="C6" s="45"/>
      <c r="D6" s="45"/>
      <c r="E6" s="45"/>
      <c r="F6" s="45"/>
      <c r="G6" s="15" t="s">
        <v>13</v>
      </c>
      <c r="H6" s="17">
        <f>'1-7Report'!H6</f>
        <v>41852</v>
      </c>
      <c r="I6" s="15"/>
      <c r="J6" s="15"/>
      <c r="K6" s="15"/>
      <c r="L6" s="10"/>
    </row>
    <row r="7" spans="2:12">
      <c r="B7" s="46"/>
      <c r="C7" s="45"/>
      <c r="D7" s="45"/>
      <c r="E7" s="45"/>
      <c r="F7" s="45"/>
      <c r="G7" s="15" t="s">
        <v>285</v>
      </c>
      <c r="H7" s="15"/>
      <c r="I7" s="15"/>
      <c r="J7" s="15"/>
      <c r="K7" s="15"/>
      <c r="L7" s="10"/>
    </row>
    <row r="8" spans="2:12" ht="15" customHeight="1">
      <c r="B8" s="46"/>
      <c r="C8" s="45"/>
      <c r="D8" s="45"/>
      <c r="E8" s="45"/>
      <c r="F8" s="45"/>
      <c r="G8" s="40" t="s">
        <v>7</v>
      </c>
      <c r="H8" s="41"/>
      <c r="I8" s="23">
        <f>COUNTIF(D12:D42,"&gt;"&amp;0)</f>
        <v>3</v>
      </c>
      <c r="J8" s="16"/>
      <c r="K8" s="16"/>
      <c r="L8" s="24"/>
    </row>
    <row r="9" spans="2:12" ht="18" customHeight="1">
      <c r="B9" s="47"/>
      <c r="C9" s="48"/>
      <c r="D9" s="48"/>
      <c r="E9" s="48"/>
      <c r="F9" s="48"/>
      <c r="G9" s="42" t="s">
        <v>286</v>
      </c>
      <c r="H9" s="43"/>
      <c r="I9" s="43"/>
      <c r="J9" s="18">
        <f>J43</f>
        <v>401</v>
      </c>
      <c r="K9" s="25"/>
      <c r="L9" s="14"/>
    </row>
    <row r="10" spans="2:12" ht="18" customHeight="1">
      <c r="B10" s="49" t="s">
        <v>0</v>
      </c>
      <c r="C10" s="51" t="s">
        <v>289</v>
      </c>
      <c r="D10" s="52"/>
      <c r="E10" s="53"/>
      <c r="F10" s="51" t="s">
        <v>287</v>
      </c>
      <c r="G10" s="54"/>
      <c r="H10" s="55"/>
      <c r="I10" s="56" t="s">
        <v>288</v>
      </c>
      <c r="J10" s="57"/>
      <c r="K10" s="58"/>
      <c r="L10" s="2"/>
    </row>
    <row r="11" spans="2:12" ht="68.25" customHeight="1">
      <c r="B11" s="50"/>
      <c r="C11" s="4" t="s">
        <v>3</v>
      </c>
      <c r="D11" s="4" t="s">
        <v>4</v>
      </c>
      <c r="E11" s="5" t="s">
        <v>5</v>
      </c>
      <c r="F11" s="4" t="s">
        <v>3</v>
      </c>
      <c r="G11" s="4" t="s">
        <v>4</v>
      </c>
      <c r="H11" s="5" t="s">
        <v>5</v>
      </c>
      <c r="I11" s="4" t="s">
        <v>3</v>
      </c>
      <c r="J11" s="4" t="s">
        <v>4</v>
      </c>
      <c r="K11" s="5" t="s">
        <v>5</v>
      </c>
      <c r="L11" s="3" t="s">
        <v>6</v>
      </c>
    </row>
    <row r="12" spans="2:12" ht="20.100000000000001" customHeight="1">
      <c r="B12" s="27">
        <v>41852</v>
      </c>
      <c r="C12" s="21">
        <f>VALUE(IF(ISNA(VLOOKUP(B12,reportdata!C:U,19,FALSE)),0,VLOOKUP(B12,reportdata!C:U,19,FALSE)))</f>
        <v>1</v>
      </c>
      <c r="D12" s="21">
        <f>VALUE(IF(ISNA(VLOOKUP(B12,reportdata!C:V,20,FALSE)),0,VLOOKUP(B12,reportdata!C:V,20,FALSE)))</f>
        <v>70</v>
      </c>
      <c r="E12" s="21">
        <f>VALUE(IF(ISNA(VLOOKUP(B12,reportdata!C:X,22,FALSE)),0,VLOOKUP(B12,reportdata!C:X,22,FALSE)))</f>
        <v>75</v>
      </c>
      <c r="F12" s="21">
        <f>VALUE(IF(ISNA(VLOOKUP(B12,reportdata!C:AA,25,FALSE)),0,VLOOKUP(B12,reportdata!C:AA,25,FALSE)))</f>
        <v>1</v>
      </c>
      <c r="G12" s="21">
        <f>VALUE(IF(ISNA(VLOOKUP(B12,reportdata!C:AB,26,FALSE)),0,VLOOKUP(B12,reportdata!C:AB,26,FALSE)))</f>
        <v>80</v>
      </c>
      <c r="H12" s="21">
        <f>VALUE(IF(ISNA(VLOOKUP(B12,reportdata!C:AD,28,FALSE)),0,VLOOKUP(B12,reportdata!C:AD,28,FALSE)))</f>
        <v>85</v>
      </c>
      <c r="I12" s="21">
        <f>C12+F12</f>
        <v>2</v>
      </c>
      <c r="J12" s="21">
        <f>D12+G12</f>
        <v>150</v>
      </c>
      <c r="K12" s="21">
        <f>E12+H12</f>
        <v>160</v>
      </c>
      <c r="L12" s="1"/>
    </row>
    <row r="13" spans="2:12" ht="20.100000000000001" customHeight="1">
      <c r="B13" s="27">
        <v>41853</v>
      </c>
      <c r="C13" s="21">
        <f>VALUE(IF(ISNA(VLOOKUP(B13,reportdata!C:U,19,FALSE)),0,VLOOKUP(B13,reportdata!C:U,19,FALSE)))</f>
        <v>0</v>
      </c>
      <c r="D13" s="21">
        <f>VALUE(IF(ISNA(VLOOKUP(B13,reportdata!C:V,20,FALSE)),0,VLOOKUP(B13,reportdata!C:V,20,FALSE)))</f>
        <v>0</v>
      </c>
      <c r="E13" s="21">
        <f>VALUE(IF(ISNA(VLOOKUP(B13,reportdata!C:X,22,FALSE)),0,VLOOKUP(B13,reportdata!C:X,22,FALSE)))</f>
        <v>0</v>
      </c>
      <c r="F13" s="21">
        <f>VALUE(IF(ISNA(VLOOKUP(B13,reportdata!C:AA,25,FALSE)),0,VLOOKUP(B13,reportdata!C:AA,25,FALSE)))</f>
        <v>0</v>
      </c>
      <c r="G13" s="21">
        <f>VALUE(IF(ISNA(VLOOKUP(B13,reportdata!C:AB,26,FALSE)),0,VLOOKUP(B13,reportdata!C:AB,26,FALSE)))</f>
        <v>0</v>
      </c>
      <c r="H13" s="21">
        <f>VALUE(IF(ISNA(VLOOKUP(B13,reportdata!C:AD,28,FALSE)),0,VLOOKUP(B13,reportdata!C:AD,28,FALSE)))</f>
        <v>0</v>
      </c>
      <c r="I13" s="21">
        <f>C13+F13</f>
        <v>0</v>
      </c>
      <c r="J13" s="21">
        <f t="shared" ref="J13:K42" si="0">D13+G13</f>
        <v>0</v>
      </c>
      <c r="K13" s="21">
        <f t="shared" si="0"/>
        <v>0</v>
      </c>
      <c r="L13" s="1"/>
    </row>
    <row r="14" spans="2:12" ht="20.100000000000001" customHeight="1">
      <c r="B14" s="27">
        <v>41854</v>
      </c>
      <c r="C14" s="21">
        <f>VALUE(IF(ISNA(VLOOKUP(B14,reportdata!C:U,19,FALSE)),0,VLOOKUP(B14,reportdata!C:U,19,FALSE)))</f>
        <v>0</v>
      </c>
      <c r="D14" s="21">
        <f>VALUE(IF(ISNA(VLOOKUP(B14,reportdata!C:V,20,FALSE)),0,VLOOKUP(B14,reportdata!C:V,20,FALSE)))</f>
        <v>0</v>
      </c>
      <c r="E14" s="21">
        <f>VALUE(IF(ISNA(VLOOKUP(B14,reportdata!C:X,22,FALSE)),0,VLOOKUP(B14,reportdata!C:X,22,FALSE)))</f>
        <v>0</v>
      </c>
      <c r="F14" s="21">
        <f>VALUE(IF(ISNA(VLOOKUP(B14,reportdata!C:AA,25,FALSE)),0,VLOOKUP(B14,reportdata!C:AA,25,FALSE)))</f>
        <v>0</v>
      </c>
      <c r="G14" s="21">
        <f>VALUE(IF(ISNA(VLOOKUP(B14,reportdata!C:AB,26,FALSE)),0,VLOOKUP(B14,reportdata!C:AB,26,FALSE)))</f>
        <v>0</v>
      </c>
      <c r="H14" s="21">
        <f>VALUE(IF(ISNA(VLOOKUP(B14,reportdata!C:AD,28,FALSE)),0,VLOOKUP(B14,reportdata!C:AD,28,FALSE)))</f>
        <v>0</v>
      </c>
      <c r="I14" s="21">
        <f t="shared" ref="I14:I41" si="1">C14+F14</f>
        <v>0</v>
      </c>
      <c r="J14" s="21">
        <f t="shared" si="0"/>
        <v>0</v>
      </c>
      <c r="K14" s="21">
        <f t="shared" si="0"/>
        <v>0</v>
      </c>
      <c r="L14" s="1"/>
    </row>
    <row r="15" spans="2:12" ht="20.100000000000001" customHeight="1">
      <c r="B15" s="27">
        <v>41855</v>
      </c>
      <c r="C15" s="21">
        <f>VALUE(IF(ISNA(VLOOKUP(B15,reportdata!C:U,19,FALSE)),0,VLOOKUP(B15,reportdata!C:U,19,FALSE)))</f>
        <v>1</v>
      </c>
      <c r="D15" s="21">
        <f>VALUE(IF(ISNA(VLOOKUP(B15,reportdata!C:V,20,FALSE)),0,VLOOKUP(B15,reportdata!C:V,20,FALSE)))</f>
        <v>70</v>
      </c>
      <c r="E15" s="21">
        <f>VALUE(IF(ISNA(VLOOKUP(B15,reportdata!C:X,22,FALSE)),0,VLOOKUP(B15,reportdata!C:X,22,FALSE)))</f>
        <v>75</v>
      </c>
      <c r="F15" s="21">
        <f>VALUE(IF(ISNA(VLOOKUP(B15,reportdata!C:AA,25,FALSE)),0,VLOOKUP(B15,reportdata!C:AA,25,FALSE)))</f>
        <v>1</v>
      </c>
      <c r="G15" s="21">
        <f>VALUE(IF(ISNA(VLOOKUP(B15,reportdata!C:AB,26,FALSE)),0,VLOOKUP(B15,reportdata!C:AB,26,FALSE)))</f>
        <v>80</v>
      </c>
      <c r="H15" s="21">
        <f>VALUE(IF(ISNA(VLOOKUP(B15,reportdata!C:AD,28,FALSE)),0,VLOOKUP(B15,reportdata!C:AD,28,FALSE)))</f>
        <v>85</v>
      </c>
      <c r="I15" s="21">
        <f t="shared" si="1"/>
        <v>2</v>
      </c>
      <c r="J15" s="21">
        <f t="shared" si="0"/>
        <v>150</v>
      </c>
      <c r="K15" s="21">
        <f t="shared" si="0"/>
        <v>160</v>
      </c>
      <c r="L15" s="1"/>
    </row>
    <row r="16" spans="2:12" ht="20.100000000000001" customHeight="1">
      <c r="B16" s="27">
        <v>41856</v>
      </c>
      <c r="C16" s="21">
        <f>VALUE(IF(ISNA(VLOOKUP(B16,reportdata!C:U,19,FALSE)),0,VLOOKUP(B16,reportdata!C:U,19,FALSE)))</f>
        <v>5</v>
      </c>
      <c r="D16" s="21">
        <f>VALUE(IF(ISNA(VLOOKUP(B16,reportdata!C:V,20,FALSE)),0,VLOOKUP(B16,reportdata!C:V,20,FALSE)))</f>
        <v>36</v>
      </c>
      <c r="E16" s="21">
        <f>VALUE(IF(ISNA(VLOOKUP(B16,reportdata!C:X,22,FALSE)),0,VLOOKUP(B16,reportdata!C:X,22,FALSE)))</f>
        <v>40</v>
      </c>
      <c r="F16" s="21">
        <f>VALUE(IF(ISNA(VLOOKUP(B16,reportdata!C:AA,25,FALSE)),0,VLOOKUP(B16,reportdata!C:AA,25,FALSE)))</f>
        <v>5</v>
      </c>
      <c r="G16" s="21">
        <f>VALUE(IF(ISNA(VLOOKUP(B16,reportdata!C:AB,26,FALSE)),0,VLOOKUP(B16,reportdata!C:AB,26,FALSE)))</f>
        <v>65</v>
      </c>
      <c r="H16" s="21">
        <f>VALUE(IF(ISNA(VLOOKUP(B16,reportdata!C:AD,28,FALSE)),0,VLOOKUP(B16,reportdata!C:AD,28,FALSE)))</f>
        <v>68</v>
      </c>
      <c r="I16" s="21">
        <f t="shared" si="1"/>
        <v>10</v>
      </c>
      <c r="J16" s="21">
        <f t="shared" si="0"/>
        <v>101</v>
      </c>
      <c r="K16" s="21">
        <f t="shared" si="0"/>
        <v>108</v>
      </c>
      <c r="L16" s="1"/>
    </row>
    <row r="17" spans="2:12" ht="20.100000000000001" customHeight="1">
      <c r="B17" s="27">
        <v>41857</v>
      </c>
      <c r="C17" s="21">
        <f>VALUE(IF(ISNA(VLOOKUP(B17,reportdata!C:U,19,FALSE)),0,VLOOKUP(B17,reportdata!C:U,19,FALSE)))</f>
        <v>0</v>
      </c>
      <c r="D17" s="21">
        <f>VALUE(IF(ISNA(VLOOKUP(B17,reportdata!C:V,20,FALSE)),0,VLOOKUP(B17,reportdata!C:V,20,FALSE)))</f>
        <v>0</v>
      </c>
      <c r="E17" s="21">
        <f>VALUE(IF(ISNA(VLOOKUP(B17,reportdata!C:X,22,FALSE)),0,VLOOKUP(B17,reportdata!C:X,22,FALSE)))</f>
        <v>0</v>
      </c>
      <c r="F17" s="21">
        <f>VALUE(IF(ISNA(VLOOKUP(B17,reportdata!C:AA,25,FALSE)),0,VLOOKUP(B17,reportdata!C:AA,25,FALSE)))</f>
        <v>0</v>
      </c>
      <c r="G17" s="21">
        <f>VALUE(IF(ISNA(VLOOKUP(B17,reportdata!C:AB,26,FALSE)),0,VLOOKUP(B17,reportdata!C:AB,26,FALSE)))</f>
        <v>0</v>
      </c>
      <c r="H17" s="21">
        <f>VALUE(IF(ISNA(VLOOKUP(B17,reportdata!C:AD,28,FALSE)),0,VLOOKUP(B17,reportdata!C:AD,28,FALSE)))</f>
        <v>0</v>
      </c>
      <c r="I17" s="21">
        <f t="shared" si="1"/>
        <v>0</v>
      </c>
      <c r="J17" s="21">
        <f t="shared" si="0"/>
        <v>0</v>
      </c>
      <c r="K17" s="21">
        <f t="shared" si="0"/>
        <v>0</v>
      </c>
      <c r="L17" s="1"/>
    </row>
    <row r="18" spans="2:12" ht="20.100000000000001" customHeight="1">
      <c r="B18" s="27">
        <v>41858</v>
      </c>
      <c r="C18" s="21">
        <f>VALUE(IF(ISNA(VLOOKUP(B18,reportdata!C:U,19,FALSE)),0,VLOOKUP(B18,reportdata!C:U,19,FALSE)))</f>
        <v>0</v>
      </c>
      <c r="D18" s="21">
        <f>VALUE(IF(ISNA(VLOOKUP(B18,reportdata!C:V,20,FALSE)),0,VLOOKUP(B18,reportdata!C:V,20,FALSE)))</f>
        <v>0</v>
      </c>
      <c r="E18" s="21">
        <f>VALUE(IF(ISNA(VLOOKUP(B18,reportdata!C:X,22,FALSE)),0,VLOOKUP(B18,reportdata!C:X,22,FALSE)))</f>
        <v>0</v>
      </c>
      <c r="F18" s="21">
        <f>VALUE(IF(ISNA(VLOOKUP(B18,reportdata!C:AA,25,FALSE)),0,VLOOKUP(B18,reportdata!C:AA,25,FALSE)))</f>
        <v>0</v>
      </c>
      <c r="G18" s="21">
        <f>VALUE(IF(ISNA(VLOOKUP(B18,reportdata!C:AB,26,FALSE)),0,VLOOKUP(B18,reportdata!C:AB,26,FALSE)))</f>
        <v>0</v>
      </c>
      <c r="H18" s="21">
        <f>VALUE(IF(ISNA(VLOOKUP(B18,reportdata!C:AD,28,FALSE)),0,VLOOKUP(B18,reportdata!C:AD,28,FALSE)))</f>
        <v>0</v>
      </c>
      <c r="I18" s="21">
        <f>C18+F18</f>
        <v>0</v>
      </c>
      <c r="J18" s="21">
        <f t="shared" si="0"/>
        <v>0</v>
      </c>
      <c r="K18" s="21">
        <f t="shared" si="0"/>
        <v>0</v>
      </c>
      <c r="L18" s="1"/>
    </row>
    <row r="19" spans="2:12" ht="20.100000000000001" customHeight="1">
      <c r="B19" s="27">
        <v>41859</v>
      </c>
      <c r="C19" s="21">
        <f>VALUE(IF(ISNA(VLOOKUP(B19,reportdata!C:U,19,FALSE)),0,VLOOKUP(B19,reportdata!C:U,19,FALSE)))</f>
        <v>0</v>
      </c>
      <c r="D19" s="21">
        <f>VALUE(IF(ISNA(VLOOKUP(B19,reportdata!C:V,20,FALSE)),0,VLOOKUP(B19,reportdata!C:V,20,FALSE)))</f>
        <v>0</v>
      </c>
      <c r="E19" s="21">
        <f>VALUE(IF(ISNA(VLOOKUP(B19,reportdata!C:X,22,FALSE)),0,VLOOKUP(B19,reportdata!C:X,22,FALSE)))</f>
        <v>0</v>
      </c>
      <c r="F19" s="21">
        <f>VALUE(IF(ISNA(VLOOKUP(B19,reportdata!C:AA,25,FALSE)),0,VLOOKUP(B19,reportdata!C:AA,25,FALSE)))</f>
        <v>0</v>
      </c>
      <c r="G19" s="21">
        <f>VALUE(IF(ISNA(VLOOKUP(B19,reportdata!C:AB,26,FALSE)),0,VLOOKUP(B19,reportdata!C:AB,26,FALSE)))</f>
        <v>0</v>
      </c>
      <c r="H19" s="21">
        <f>VALUE(IF(ISNA(VLOOKUP(B19,reportdata!C:AD,28,FALSE)),0,VLOOKUP(B19,reportdata!C:AD,28,FALSE)))</f>
        <v>0</v>
      </c>
      <c r="I19" s="21">
        <f t="shared" si="1"/>
        <v>0</v>
      </c>
      <c r="J19" s="21">
        <f t="shared" si="0"/>
        <v>0</v>
      </c>
      <c r="K19" s="21">
        <f t="shared" si="0"/>
        <v>0</v>
      </c>
      <c r="L19" s="1"/>
    </row>
    <row r="20" spans="2:12" ht="20.100000000000001" customHeight="1">
      <c r="B20" s="27">
        <v>41860</v>
      </c>
      <c r="C20" s="21">
        <f>VALUE(IF(ISNA(VLOOKUP(B20,reportdata!C:U,19,FALSE)),0,VLOOKUP(B20,reportdata!C:U,19,FALSE)))</f>
        <v>0</v>
      </c>
      <c r="D20" s="21">
        <f>VALUE(IF(ISNA(VLOOKUP(B20,reportdata!C:V,20,FALSE)),0,VLOOKUP(B20,reportdata!C:V,20,FALSE)))</f>
        <v>0</v>
      </c>
      <c r="E20" s="21">
        <f>VALUE(IF(ISNA(VLOOKUP(B20,reportdata!C:X,22,FALSE)),0,VLOOKUP(B20,reportdata!C:X,22,FALSE)))</f>
        <v>0</v>
      </c>
      <c r="F20" s="21">
        <f>VALUE(IF(ISNA(VLOOKUP(B20,reportdata!C:AA,25,FALSE)),0,VLOOKUP(B20,reportdata!C:AA,25,FALSE)))</f>
        <v>0</v>
      </c>
      <c r="G20" s="21">
        <f>VALUE(IF(ISNA(VLOOKUP(B20,reportdata!C:AB,26,FALSE)),0,VLOOKUP(B20,reportdata!C:AB,26,FALSE)))</f>
        <v>0</v>
      </c>
      <c r="H20" s="21">
        <f>VALUE(IF(ISNA(VLOOKUP(B20,reportdata!C:AD,28,FALSE)),0,VLOOKUP(B20,reportdata!C:AD,28,FALSE)))</f>
        <v>0</v>
      </c>
      <c r="I20" s="21">
        <f t="shared" si="1"/>
        <v>0</v>
      </c>
      <c r="J20" s="21">
        <f t="shared" si="0"/>
        <v>0</v>
      </c>
      <c r="K20" s="21">
        <f t="shared" si="0"/>
        <v>0</v>
      </c>
      <c r="L20" s="1"/>
    </row>
    <row r="21" spans="2:12" ht="20.100000000000001" customHeight="1">
      <c r="B21" s="27">
        <v>41861</v>
      </c>
      <c r="C21" s="21">
        <f>VALUE(IF(ISNA(VLOOKUP(B21,reportdata!C:U,19,FALSE)),0,VLOOKUP(B21,reportdata!C:U,19,FALSE)))</f>
        <v>0</v>
      </c>
      <c r="D21" s="21">
        <f>VALUE(IF(ISNA(VLOOKUP(B21,reportdata!C:V,20,FALSE)),0,VLOOKUP(B21,reportdata!C:V,20,FALSE)))</f>
        <v>0</v>
      </c>
      <c r="E21" s="21">
        <f>VALUE(IF(ISNA(VLOOKUP(B21,reportdata!C:X,22,FALSE)),0,VLOOKUP(B21,reportdata!C:X,22,FALSE)))</f>
        <v>0</v>
      </c>
      <c r="F21" s="21">
        <f>VALUE(IF(ISNA(VLOOKUP(B21,reportdata!C:AA,25,FALSE)),0,VLOOKUP(B21,reportdata!C:AA,25,FALSE)))</f>
        <v>0</v>
      </c>
      <c r="G21" s="21">
        <f>VALUE(IF(ISNA(VLOOKUP(B21,reportdata!C:AB,26,FALSE)),0,VLOOKUP(B21,reportdata!C:AB,26,FALSE)))</f>
        <v>0</v>
      </c>
      <c r="H21" s="21">
        <f>VALUE(IF(ISNA(VLOOKUP(B21,reportdata!C:AD,28,FALSE)),0,VLOOKUP(B21,reportdata!C:AD,28,FALSE)))</f>
        <v>0</v>
      </c>
      <c r="I21" s="21">
        <f t="shared" si="1"/>
        <v>0</v>
      </c>
      <c r="J21" s="21">
        <f t="shared" si="0"/>
        <v>0</v>
      </c>
      <c r="K21" s="21">
        <f t="shared" si="0"/>
        <v>0</v>
      </c>
      <c r="L21" s="1"/>
    </row>
    <row r="22" spans="2:12" ht="20.100000000000001" customHeight="1">
      <c r="B22" s="27">
        <v>41862</v>
      </c>
      <c r="C22" s="21">
        <f>VALUE(IF(ISNA(VLOOKUP(B22,reportdata!C:U,19,FALSE)),0,VLOOKUP(B22,reportdata!C:U,19,FALSE)))</f>
        <v>0</v>
      </c>
      <c r="D22" s="21">
        <f>VALUE(IF(ISNA(VLOOKUP(B22,reportdata!C:V,20,FALSE)),0,VLOOKUP(B22,reportdata!C:V,20,FALSE)))</f>
        <v>0</v>
      </c>
      <c r="E22" s="21">
        <f>VALUE(IF(ISNA(VLOOKUP(B22,reportdata!C:X,22,FALSE)),0,VLOOKUP(B22,reportdata!C:X,22,FALSE)))</f>
        <v>0</v>
      </c>
      <c r="F22" s="21">
        <f>VALUE(IF(ISNA(VLOOKUP(B22,reportdata!C:AA,25,FALSE)),0,VLOOKUP(B22,reportdata!C:AA,25,FALSE)))</f>
        <v>0</v>
      </c>
      <c r="G22" s="21">
        <f>VALUE(IF(ISNA(VLOOKUP(B22,reportdata!C:AB,26,FALSE)),0,VLOOKUP(B22,reportdata!C:AB,26,FALSE)))</f>
        <v>0</v>
      </c>
      <c r="H22" s="21">
        <f>VALUE(IF(ISNA(VLOOKUP(B22,reportdata!C:AD,28,FALSE)),0,VLOOKUP(B22,reportdata!C:AD,28,FALSE)))</f>
        <v>0</v>
      </c>
      <c r="I22" s="21">
        <f t="shared" si="1"/>
        <v>0</v>
      </c>
      <c r="J22" s="21">
        <f t="shared" si="0"/>
        <v>0</v>
      </c>
      <c r="K22" s="21">
        <f t="shared" si="0"/>
        <v>0</v>
      </c>
      <c r="L22" s="1"/>
    </row>
    <row r="23" spans="2:12" ht="20.100000000000001" customHeight="1">
      <c r="B23" s="27">
        <v>41863</v>
      </c>
      <c r="C23" s="21">
        <f>VALUE(IF(ISNA(VLOOKUP(B23,reportdata!C:U,19,FALSE)),0,VLOOKUP(B23,reportdata!C:U,19,FALSE)))</f>
        <v>0</v>
      </c>
      <c r="D23" s="21">
        <f>VALUE(IF(ISNA(VLOOKUP(B23,reportdata!C:V,20,FALSE)),0,VLOOKUP(B23,reportdata!C:V,20,FALSE)))</f>
        <v>0</v>
      </c>
      <c r="E23" s="21">
        <f>VALUE(IF(ISNA(VLOOKUP(B23,reportdata!C:X,22,FALSE)),0,VLOOKUP(B23,reportdata!C:X,22,FALSE)))</f>
        <v>0</v>
      </c>
      <c r="F23" s="21">
        <f>VALUE(IF(ISNA(VLOOKUP(B23,reportdata!C:AA,25,FALSE)),0,VLOOKUP(B23,reportdata!C:AA,25,FALSE)))</f>
        <v>0</v>
      </c>
      <c r="G23" s="21">
        <f>VALUE(IF(ISNA(VLOOKUP(B23,reportdata!C:AB,26,FALSE)),0,VLOOKUP(B23,reportdata!C:AB,26,FALSE)))</f>
        <v>0</v>
      </c>
      <c r="H23" s="21">
        <f>VALUE(IF(ISNA(VLOOKUP(B23,reportdata!C:AD,28,FALSE)),0,VLOOKUP(B23,reportdata!C:AD,28,FALSE)))</f>
        <v>0</v>
      </c>
      <c r="I23" s="21">
        <f t="shared" si="1"/>
        <v>0</v>
      </c>
      <c r="J23" s="21">
        <f t="shared" si="0"/>
        <v>0</v>
      </c>
      <c r="K23" s="21">
        <f t="shared" si="0"/>
        <v>0</v>
      </c>
      <c r="L23" s="1"/>
    </row>
    <row r="24" spans="2:12" ht="20.100000000000001" customHeight="1">
      <c r="B24" s="27">
        <v>41864</v>
      </c>
      <c r="C24" s="21">
        <f>VALUE(IF(ISNA(VLOOKUP(B24,reportdata!C:U,19,FALSE)),0,VLOOKUP(B24,reportdata!C:U,19,FALSE)))</f>
        <v>0</v>
      </c>
      <c r="D24" s="21">
        <f>VALUE(IF(ISNA(VLOOKUP(B24,reportdata!C:V,20,FALSE)),0,VLOOKUP(B24,reportdata!C:V,20,FALSE)))</f>
        <v>0</v>
      </c>
      <c r="E24" s="21">
        <f>VALUE(IF(ISNA(VLOOKUP(B24,reportdata!C:X,22,FALSE)),0,VLOOKUP(B24,reportdata!C:X,22,FALSE)))</f>
        <v>0</v>
      </c>
      <c r="F24" s="21">
        <f>VALUE(IF(ISNA(VLOOKUP(B24,reportdata!C:AA,25,FALSE)),0,VLOOKUP(B24,reportdata!C:AA,25,FALSE)))</f>
        <v>0</v>
      </c>
      <c r="G24" s="21">
        <f>VALUE(IF(ISNA(VLOOKUP(B24,reportdata!C:AB,26,FALSE)),0,VLOOKUP(B24,reportdata!C:AB,26,FALSE)))</f>
        <v>0</v>
      </c>
      <c r="H24" s="21">
        <f>VALUE(IF(ISNA(VLOOKUP(B24,reportdata!C:AD,28,FALSE)),0,VLOOKUP(B24,reportdata!C:AD,28,FALSE)))</f>
        <v>0</v>
      </c>
      <c r="I24" s="21">
        <f t="shared" si="1"/>
        <v>0</v>
      </c>
      <c r="J24" s="21">
        <f t="shared" si="0"/>
        <v>0</v>
      </c>
      <c r="K24" s="21">
        <f t="shared" si="0"/>
        <v>0</v>
      </c>
      <c r="L24" s="1"/>
    </row>
    <row r="25" spans="2:12" ht="20.100000000000001" customHeight="1">
      <c r="B25" s="27">
        <v>41865</v>
      </c>
      <c r="C25" s="21">
        <f>VALUE(IF(ISNA(VLOOKUP(B25,reportdata!C:U,19,FALSE)),0,VLOOKUP(B25,reportdata!C:U,19,FALSE)))</f>
        <v>0</v>
      </c>
      <c r="D25" s="21">
        <f>VALUE(IF(ISNA(VLOOKUP(B25,reportdata!C:V,20,FALSE)),0,VLOOKUP(B25,reportdata!C:V,20,FALSE)))</f>
        <v>0</v>
      </c>
      <c r="E25" s="21">
        <f>VALUE(IF(ISNA(VLOOKUP(B25,reportdata!C:X,22,FALSE)),0,VLOOKUP(B25,reportdata!C:X,22,FALSE)))</f>
        <v>0</v>
      </c>
      <c r="F25" s="21">
        <f>VALUE(IF(ISNA(VLOOKUP(B25,reportdata!C:AA,25,FALSE)),0,VLOOKUP(B25,reportdata!C:AA,25,FALSE)))</f>
        <v>0</v>
      </c>
      <c r="G25" s="21">
        <f>VALUE(IF(ISNA(VLOOKUP(B25,reportdata!C:AB,26,FALSE)),0,VLOOKUP(B25,reportdata!C:AB,26,FALSE)))</f>
        <v>0</v>
      </c>
      <c r="H25" s="21">
        <f>VALUE(IF(ISNA(VLOOKUP(B25,reportdata!C:AD,28,FALSE)),0,VLOOKUP(B25,reportdata!C:AD,28,FALSE)))</f>
        <v>0</v>
      </c>
      <c r="I25" s="21">
        <f t="shared" si="1"/>
        <v>0</v>
      </c>
      <c r="J25" s="21">
        <f t="shared" si="0"/>
        <v>0</v>
      </c>
      <c r="K25" s="21">
        <f t="shared" si="0"/>
        <v>0</v>
      </c>
      <c r="L25" s="1"/>
    </row>
    <row r="26" spans="2:12" ht="20.100000000000001" customHeight="1">
      <c r="B26" s="27">
        <v>41866</v>
      </c>
      <c r="C26" s="21">
        <f>VALUE(IF(ISNA(VLOOKUP(B26,reportdata!C:U,19,FALSE)),0,VLOOKUP(B26,reportdata!C:U,19,FALSE)))</f>
        <v>0</v>
      </c>
      <c r="D26" s="21">
        <f>VALUE(IF(ISNA(VLOOKUP(B26,reportdata!C:V,20,FALSE)),0,VLOOKUP(B26,reportdata!C:V,20,FALSE)))</f>
        <v>0</v>
      </c>
      <c r="E26" s="21">
        <f>VALUE(IF(ISNA(VLOOKUP(B26,reportdata!C:X,22,FALSE)),0,VLOOKUP(B26,reportdata!C:X,22,FALSE)))</f>
        <v>0</v>
      </c>
      <c r="F26" s="21">
        <f>VALUE(IF(ISNA(VLOOKUP(B26,reportdata!C:AA,25,FALSE)),0,VLOOKUP(B26,reportdata!C:AA,25,FALSE)))</f>
        <v>0</v>
      </c>
      <c r="G26" s="21">
        <f>VALUE(IF(ISNA(VLOOKUP(B26,reportdata!C:AB,26,FALSE)),0,VLOOKUP(B26,reportdata!C:AB,26,FALSE)))</f>
        <v>0</v>
      </c>
      <c r="H26" s="21">
        <f>VALUE(IF(ISNA(VLOOKUP(B26,reportdata!C:AD,28,FALSE)),0,VLOOKUP(B26,reportdata!C:AD,28,FALSE)))</f>
        <v>0</v>
      </c>
      <c r="I26" s="21">
        <f t="shared" si="1"/>
        <v>0</v>
      </c>
      <c r="J26" s="21">
        <f t="shared" si="0"/>
        <v>0</v>
      </c>
      <c r="K26" s="21">
        <f t="shared" si="0"/>
        <v>0</v>
      </c>
      <c r="L26" s="1"/>
    </row>
    <row r="27" spans="2:12" ht="20.100000000000001" customHeight="1">
      <c r="B27" s="27">
        <v>41867</v>
      </c>
      <c r="C27" s="21">
        <f>VALUE(IF(ISNA(VLOOKUP(B27,reportdata!C:U,19,FALSE)),0,VLOOKUP(B27,reportdata!C:U,19,FALSE)))</f>
        <v>0</v>
      </c>
      <c r="D27" s="21">
        <f>VALUE(IF(ISNA(VLOOKUP(B27,reportdata!C:V,20,FALSE)),0,VLOOKUP(B27,reportdata!C:V,20,FALSE)))</f>
        <v>0</v>
      </c>
      <c r="E27" s="21">
        <f>VALUE(IF(ISNA(VLOOKUP(B27,reportdata!C:X,22,FALSE)),0,VLOOKUP(B27,reportdata!C:X,22,FALSE)))</f>
        <v>0</v>
      </c>
      <c r="F27" s="21">
        <f>VALUE(IF(ISNA(VLOOKUP(B27,reportdata!C:AA,25,FALSE)),0,VLOOKUP(B27,reportdata!C:AA,25,FALSE)))</f>
        <v>0</v>
      </c>
      <c r="G27" s="21">
        <f>VALUE(IF(ISNA(VLOOKUP(B27,reportdata!C:AB,26,FALSE)),0,VLOOKUP(B27,reportdata!C:AB,26,FALSE)))</f>
        <v>0</v>
      </c>
      <c r="H27" s="21">
        <f>VALUE(IF(ISNA(VLOOKUP(B27,reportdata!C:AD,28,FALSE)),0,VLOOKUP(B27,reportdata!C:AD,28,FALSE)))</f>
        <v>0</v>
      </c>
      <c r="I27" s="21">
        <f t="shared" si="1"/>
        <v>0</v>
      </c>
      <c r="J27" s="21">
        <f t="shared" si="0"/>
        <v>0</v>
      </c>
      <c r="K27" s="21">
        <f t="shared" si="0"/>
        <v>0</v>
      </c>
      <c r="L27" s="1"/>
    </row>
    <row r="28" spans="2:12" ht="20.100000000000001" customHeight="1">
      <c r="B28" s="27">
        <v>41868</v>
      </c>
      <c r="C28" s="21">
        <f>VALUE(IF(ISNA(VLOOKUP(B28,reportdata!C:U,19,FALSE)),0,VLOOKUP(B28,reportdata!C:U,19,FALSE)))</f>
        <v>0</v>
      </c>
      <c r="D28" s="21">
        <f>VALUE(IF(ISNA(VLOOKUP(B28,reportdata!C:V,20,FALSE)),0,VLOOKUP(B28,reportdata!C:V,20,FALSE)))</f>
        <v>0</v>
      </c>
      <c r="E28" s="21">
        <f>VALUE(IF(ISNA(VLOOKUP(B28,reportdata!C:X,22,FALSE)),0,VLOOKUP(B28,reportdata!C:X,22,FALSE)))</f>
        <v>0</v>
      </c>
      <c r="F28" s="21">
        <f>VALUE(IF(ISNA(VLOOKUP(B28,reportdata!C:AA,25,FALSE)),0,VLOOKUP(B28,reportdata!C:AA,25,FALSE)))</f>
        <v>0</v>
      </c>
      <c r="G28" s="21">
        <f>VALUE(IF(ISNA(VLOOKUP(B28,reportdata!C:AB,26,FALSE)),0,VLOOKUP(B28,reportdata!C:AB,26,FALSE)))</f>
        <v>0</v>
      </c>
      <c r="H28" s="21">
        <f>VALUE(IF(ISNA(VLOOKUP(B28,reportdata!C:AD,28,FALSE)),0,VLOOKUP(B28,reportdata!C:AD,28,FALSE)))</f>
        <v>0</v>
      </c>
      <c r="I28" s="21">
        <f t="shared" si="1"/>
        <v>0</v>
      </c>
      <c r="J28" s="21">
        <f t="shared" si="0"/>
        <v>0</v>
      </c>
      <c r="K28" s="21">
        <f t="shared" si="0"/>
        <v>0</v>
      </c>
      <c r="L28" s="1"/>
    </row>
    <row r="29" spans="2:12" ht="20.100000000000001" customHeight="1">
      <c r="B29" s="27">
        <v>41869</v>
      </c>
      <c r="C29" s="21">
        <f>VALUE(IF(ISNA(VLOOKUP(B29,reportdata!C:U,19,FALSE)),0,VLOOKUP(B29,reportdata!C:U,19,FALSE)))</f>
        <v>0</v>
      </c>
      <c r="D29" s="21">
        <f>VALUE(IF(ISNA(VLOOKUP(B29,reportdata!C:V,20,FALSE)),0,VLOOKUP(B29,reportdata!C:V,20,FALSE)))</f>
        <v>0</v>
      </c>
      <c r="E29" s="21">
        <f>VALUE(IF(ISNA(VLOOKUP(B29,reportdata!C:X,22,FALSE)),0,VLOOKUP(B29,reportdata!C:X,22,FALSE)))</f>
        <v>0</v>
      </c>
      <c r="F29" s="21">
        <f>VALUE(IF(ISNA(VLOOKUP(B29,reportdata!C:AA,25,FALSE)),0,VLOOKUP(B29,reportdata!C:AA,25,FALSE)))</f>
        <v>0</v>
      </c>
      <c r="G29" s="21">
        <f>VALUE(IF(ISNA(VLOOKUP(B29,reportdata!C:AB,26,FALSE)),0,VLOOKUP(B29,reportdata!C:AB,26,FALSE)))</f>
        <v>0</v>
      </c>
      <c r="H29" s="21">
        <f>VALUE(IF(ISNA(VLOOKUP(B29,reportdata!C:AD,28,FALSE)),0,VLOOKUP(B29,reportdata!C:AD,28,FALSE)))</f>
        <v>0</v>
      </c>
      <c r="I29" s="21">
        <f t="shared" si="1"/>
        <v>0</v>
      </c>
      <c r="J29" s="21">
        <f t="shared" si="0"/>
        <v>0</v>
      </c>
      <c r="K29" s="21">
        <f t="shared" si="0"/>
        <v>0</v>
      </c>
      <c r="L29" s="1"/>
    </row>
    <row r="30" spans="2:12" ht="20.100000000000001" customHeight="1">
      <c r="B30" s="27">
        <v>41870</v>
      </c>
      <c r="C30" s="21">
        <f>VALUE(IF(ISNA(VLOOKUP(B30,reportdata!C:U,19,FALSE)),0,VLOOKUP(B30,reportdata!C:U,19,FALSE)))</f>
        <v>0</v>
      </c>
      <c r="D30" s="21">
        <f>VALUE(IF(ISNA(VLOOKUP(B30,reportdata!C:V,20,FALSE)),0,VLOOKUP(B30,reportdata!C:V,20,FALSE)))</f>
        <v>0</v>
      </c>
      <c r="E30" s="21">
        <f>VALUE(IF(ISNA(VLOOKUP(B30,reportdata!C:X,22,FALSE)),0,VLOOKUP(B30,reportdata!C:X,22,FALSE)))</f>
        <v>0</v>
      </c>
      <c r="F30" s="21">
        <f>VALUE(IF(ISNA(VLOOKUP(B30,reportdata!C:AA,25,FALSE)),0,VLOOKUP(B30,reportdata!C:AA,25,FALSE)))</f>
        <v>0</v>
      </c>
      <c r="G30" s="21">
        <f>VALUE(IF(ISNA(VLOOKUP(B30,reportdata!C:AB,26,FALSE)),0,VLOOKUP(B30,reportdata!C:AB,26,FALSE)))</f>
        <v>0</v>
      </c>
      <c r="H30" s="21">
        <f>VALUE(IF(ISNA(VLOOKUP(B30,reportdata!C:AD,28,FALSE)),0,VLOOKUP(B30,reportdata!C:AD,28,FALSE)))</f>
        <v>0</v>
      </c>
      <c r="I30" s="21">
        <f t="shared" si="1"/>
        <v>0</v>
      </c>
      <c r="J30" s="21">
        <f t="shared" si="0"/>
        <v>0</v>
      </c>
      <c r="K30" s="21">
        <f t="shared" si="0"/>
        <v>0</v>
      </c>
      <c r="L30" s="1"/>
    </row>
    <row r="31" spans="2:12" ht="20.100000000000001" customHeight="1">
      <c r="B31" s="27">
        <v>41871</v>
      </c>
      <c r="C31" s="21">
        <f>VALUE(IF(ISNA(VLOOKUP(B31,reportdata!C:U,19,FALSE)),0,VLOOKUP(B31,reportdata!C:U,19,FALSE)))</f>
        <v>0</v>
      </c>
      <c r="D31" s="21">
        <f>VALUE(IF(ISNA(VLOOKUP(B31,reportdata!C:V,20,FALSE)),0,VLOOKUP(B31,reportdata!C:V,20,FALSE)))</f>
        <v>0</v>
      </c>
      <c r="E31" s="21">
        <f>VALUE(IF(ISNA(VLOOKUP(B31,reportdata!C:X,22,FALSE)),0,VLOOKUP(B31,reportdata!C:X,22,FALSE)))</f>
        <v>0</v>
      </c>
      <c r="F31" s="21">
        <f>VALUE(IF(ISNA(VLOOKUP(B31,reportdata!C:AA,25,FALSE)),0,VLOOKUP(B31,reportdata!C:AA,25,FALSE)))</f>
        <v>0</v>
      </c>
      <c r="G31" s="21">
        <f>VALUE(IF(ISNA(VLOOKUP(B31,reportdata!C:AB,26,FALSE)),0,VLOOKUP(B31,reportdata!C:AB,26,FALSE)))</f>
        <v>0</v>
      </c>
      <c r="H31" s="21">
        <f>VALUE(IF(ISNA(VLOOKUP(B31,reportdata!C:AD,28,FALSE)),0,VLOOKUP(B31,reportdata!C:AD,28,FALSE)))</f>
        <v>0</v>
      </c>
      <c r="I31" s="21">
        <f t="shared" si="1"/>
        <v>0</v>
      </c>
      <c r="J31" s="21">
        <f t="shared" si="0"/>
        <v>0</v>
      </c>
      <c r="K31" s="21">
        <f t="shared" si="0"/>
        <v>0</v>
      </c>
      <c r="L31" s="1"/>
    </row>
    <row r="32" spans="2:12" ht="20.100000000000001" customHeight="1">
      <c r="B32" s="27">
        <v>41872</v>
      </c>
      <c r="C32" s="21">
        <f>VALUE(IF(ISNA(VLOOKUP(B32,reportdata!C:U,19,FALSE)),0,VLOOKUP(B32,reportdata!C:U,19,FALSE)))</f>
        <v>0</v>
      </c>
      <c r="D32" s="21">
        <f>VALUE(IF(ISNA(VLOOKUP(B32,reportdata!C:V,20,FALSE)),0,VLOOKUP(B32,reportdata!C:V,20,FALSE)))</f>
        <v>0</v>
      </c>
      <c r="E32" s="21">
        <f>VALUE(IF(ISNA(VLOOKUP(B32,reportdata!C:X,22,FALSE)),0,VLOOKUP(B32,reportdata!C:X,22,FALSE)))</f>
        <v>0</v>
      </c>
      <c r="F32" s="21">
        <f>VALUE(IF(ISNA(VLOOKUP(B32,reportdata!C:AA,25,FALSE)),0,VLOOKUP(B32,reportdata!C:AA,25,FALSE)))</f>
        <v>0</v>
      </c>
      <c r="G32" s="21">
        <f>VALUE(IF(ISNA(VLOOKUP(B32,reportdata!C:AB,26,FALSE)),0,VLOOKUP(B32,reportdata!C:AB,26,FALSE)))</f>
        <v>0</v>
      </c>
      <c r="H32" s="21">
        <f>VALUE(IF(ISNA(VLOOKUP(B32,reportdata!C:AD,28,FALSE)),0,VLOOKUP(B32,reportdata!C:AD,28,FALSE)))</f>
        <v>0</v>
      </c>
      <c r="I32" s="21">
        <f t="shared" si="1"/>
        <v>0</v>
      </c>
      <c r="J32" s="21">
        <f t="shared" si="0"/>
        <v>0</v>
      </c>
      <c r="K32" s="21">
        <f t="shared" si="0"/>
        <v>0</v>
      </c>
      <c r="L32" s="1"/>
    </row>
    <row r="33" spans="2:12" ht="20.100000000000001" customHeight="1">
      <c r="B33" s="27">
        <v>41873</v>
      </c>
      <c r="C33" s="21">
        <f>VALUE(IF(ISNA(VLOOKUP(B33,reportdata!C:U,19,FALSE)),0,VLOOKUP(B33,reportdata!C:U,19,FALSE)))</f>
        <v>0</v>
      </c>
      <c r="D33" s="21">
        <f>VALUE(IF(ISNA(VLOOKUP(B33,reportdata!C:V,20,FALSE)),0,VLOOKUP(B33,reportdata!C:V,20,FALSE)))</f>
        <v>0</v>
      </c>
      <c r="E33" s="21">
        <f>VALUE(IF(ISNA(VLOOKUP(B33,reportdata!C:X,22,FALSE)),0,VLOOKUP(B33,reportdata!C:X,22,FALSE)))</f>
        <v>0</v>
      </c>
      <c r="F33" s="21">
        <f>VALUE(IF(ISNA(VLOOKUP(B33,reportdata!C:AA,25,FALSE)),0,VLOOKUP(B33,reportdata!C:AA,25,FALSE)))</f>
        <v>0</v>
      </c>
      <c r="G33" s="21">
        <f>VALUE(IF(ISNA(VLOOKUP(B33,reportdata!C:AB,26,FALSE)),0,VLOOKUP(B33,reportdata!C:AB,26,FALSE)))</f>
        <v>0</v>
      </c>
      <c r="H33" s="21">
        <f>VALUE(IF(ISNA(VLOOKUP(B33,reportdata!C:AD,28,FALSE)),0,VLOOKUP(B33,reportdata!C:AD,28,FALSE)))</f>
        <v>0</v>
      </c>
      <c r="I33" s="21">
        <f t="shared" si="1"/>
        <v>0</v>
      </c>
      <c r="J33" s="21">
        <f t="shared" si="0"/>
        <v>0</v>
      </c>
      <c r="K33" s="21">
        <f t="shared" si="0"/>
        <v>0</v>
      </c>
      <c r="L33" s="1"/>
    </row>
    <row r="34" spans="2:12" ht="20.100000000000001" customHeight="1">
      <c r="B34" s="27">
        <v>41874</v>
      </c>
      <c r="C34" s="21">
        <f>VALUE(IF(ISNA(VLOOKUP(B34,reportdata!C:U,19,FALSE)),0,VLOOKUP(B34,reportdata!C:U,19,FALSE)))</f>
        <v>0</v>
      </c>
      <c r="D34" s="21">
        <f>VALUE(IF(ISNA(VLOOKUP(B34,reportdata!C:V,20,FALSE)),0,VLOOKUP(B34,reportdata!C:V,20,FALSE)))</f>
        <v>0</v>
      </c>
      <c r="E34" s="21">
        <f>VALUE(IF(ISNA(VLOOKUP(B34,reportdata!C:X,22,FALSE)),0,VLOOKUP(B34,reportdata!C:X,22,FALSE)))</f>
        <v>0</v>
      </c>
      <c r="F34" s="21">
        <f>VALUE(IF(ISNA(VLOOKUP(B34,reportdata!C:AA,25,FALSE)),0,VLOOKUP(B34,reportdata!C:AA,25,FALSE)))</f>
        <v>0</v>
      </c>
      <c r="G34" s="21">
        <f>VALUE(IF(ISNA(VLOOKUP(B34,reportdata!C:AB,26,FALSE)),0,VLOOKUP(B34,reportdata!C:AB,26,FALSE)))</f>
        <v>0</v>
      </c>
      <c r="H34" s="21">
        <f>VALUE(IF(ISNA(VLOOKUP(B34,reportdata!C:AD,28,FALSE)),0,VLOOKUP(B34,reportdata!C:AD,28,FALSE)))</f>
        <v>0</v>
      </c>
      <c r="I34" s="21">
        <f t="shared" si="1"/>
        <v>0</v>
      </c>
      <c r="J34" s="21">
        <f t="shared" si="0"/>
        <v>0</v>
      </c>
      <c r="K34" s="21">
        <f t="shared" si="0"/>
        <v>0</v>
      </c>
      <c r="L34" s="1"/>
    </row>
    <row r="35" spans="2:12" ht="20.100000000000001" customHeight="1">
      <c r="B35" s="27">
        <v>41875</v>
      </c>
      <c r="C35" s="21">
        <f>VALUE(IF(ISNA(VLOOKUP(B35,reportdata!C:U,19,FALSE)),0,VLOOKUP(B35,reportdata!C:U,19,FALSE)))</f>
        <v>0</v>
      </c>
      <c r="D35" s="21">
        <f>VALUE(IF(ISNA(VLOOKUP(B35,reportdata!C:V,20,FALSE)),0,VLOOKUP(B35,reportdata!C:V,20,FALSE)))</f>
        <v>0</v>
      </c>
      <c r="E35" s="21">
        <f>VALUE(IF(ISNA(VLOOKUP(B35,reportdata!C:X,22,FALSE)),0,VLOOKUP(B35,reportdata!C:X,22,FALSE)))</f>
        <v>0</v>
      </c>
      <c r="F35" s="21">
        <f>VALUE(IF(ISNA(VLOOKUP(B35,reportdata!C:AA,25,FALSE)),0,VLOOKUP(B35,reportdata!C:AA,25,FALSE)))</f>
        <v>0</v>
      </c>
      <c r="G35" s="21">
        <f>VALUE(IF(ISNA(VLOOKUP(B35,reportdata!C:AB,26,FALSE)),0,VLOOKUP(B35,reportdata!C:AB,26,FALSE)))</f>
        <v>0</v>
      </c>
      <c r="H35" s="21">
        <f>VALUE(IF(ISNA(VLOOKUP(B35,reportdata!C:AD,28,FALSE)),0,VLOOKUP(B35,reportdata!C:AD,28,FALSE)))</f>
        <v>0</v>
      </c>
      <c r="I35" s="21">
        <f t="shared" si="1"/>
        <v>0</v>
      </c>
      <c r="J35" s="21">
        <f t="shared" si="0"/>
        <v>0</v>
      </c>
      <c r="K35" s="21">
        <f t="shared" si="0"/>
        <v>0</v>
      </c>
      <c r="L35" s="1"/>
    </row>
    <row r="36" spans="2:12" ht="20.100000000000001" customHeight="1">
      <c r="B36" s="27">
        <v>41876</v>
      </c>
      <c r="C36" s="21">
        <f>VALUE(IF(ISNA(VLOOKUP(B36,reportdata!C:U,19,FALSE)),0,VLOOKUP(B36,reportdata!C:U,19,FALSE)))</f>
        <v>0</v>
      </c>
      <c r="D36" s="21">
        <f>VALUE(IF(ISNA(VLOOKUP(B36,reportdata!C:V,20,FALSE)),0,VLOOKUP(B36,reportdata!C:V,20,FALSE)))</f>
        <v>0</v>
      </c>
      <c r="E36" s="21">
        <f>VALUE(IF(ISNA(VLOOKUP(B36,reportdata!C:X,22,FALSE)),0,VLOOKUP(B36,reportdata!C:X,22,FALSE)))</f>
        <v>0</v>
      </c>
      <c r="F36" s="21">
        <f>VALUE(IF(ISNA(VLOOKUP(B36,reportdata!C:AA,25,FALSE)),0,VLOOKUP(B36,reportdata!C:AA,25,FALSE)))</f>
        <v>0</v>
      </c>
      <c r="G36" s="21">
        <f>VALUE(IF(ISNA(VLOOKUP(B36,reportdata!C:AB,26,FALSE)),0,VLOOKUP(B36,reportdata!C:AB,26,FALSE)))</f>
        <v>0</v>
      </c>
      <c r="H36" s="21">
        <f>VALUE(IF(ISNA(VLOOKUP(B36,reportdata!C:AD,28,FALSE)),0,VLOOKUP(B36,reportdata!C:AD,28,FALSE)))</f>
        <v>0</v>
      </c>
      <c r="I36" s="21">
        <f t="shared" si="1"/>
        <v>0</v>
      </c>
      <c r="J36" s="21">
        <f t="shared" si="0"/>
        <v>0</v>
      </c>
      <c r="K36" s="21">
        <f t="shared" si="0"/>
        <v>0</v>
      </c>
      <c r="L36" s="1"/>
    </row>
    <row r="37" spans="2:12" ht="20.100000000000001" customHeight="1">
      <c r="B37" s="27">
        <v>41877</v>
      </c>
      <c r="C37" s="21">
        <f>VALUE(IF(ISNA(VLOOKUP(B37,reportdata!C:U,19,FALSE)),0,VLOOKUP(B37,reportdata!C:U,19,FALSE)))</f>
        <v>0</v>
      </c>
      <c r="D37" s="21">
        <f>VALUE(IF(ISNA(VLOOKUP(B37,reportdata!C:V,20,FALSE)),0,VLOOKUP(B37,reportdata!C:V,20,FALSE)))</f>
        <v>0</v>
      </c>
      <c r="E37" s="21">
        <f>VALUE(IF(ISNA(VLOOKUP(B37,reportdata!C:X,22,FALSE)),0,VLOOKUP(B37,reportdata!C:X,22,FALSE)))</f>
        <v>0</v>
      </c>
      <c r="F37" s="21">
        <f>VALUE(IF(ISNA(VLOOKUP(B37,reportdata!C:AA,25,FALSE)),0,VLOOKUP(B37,reportdata!C:AA,25,FALSE)))</f>
        <v>0</v>
      </c>
      <c r="G37" s="21">
        <f>VALUE(IF(ISNA(VLOOKUP(B37,reportdata!C:AB,26,FALSE)),0,VLOOKUP(B37,reportdata!C:AB,26,FALSE)))</f>
        <v>0</v>
      </c>
      <c r="H37" s="21">
        <f>VALUE(IF(ISNA(VLOOKUP(B37,reportdata!C:AD,28,FALSE)),0,VLOOKUP(B37,reportdata!C:AD,28,FALSE)))</f>
        <v>0</v>
      </c>
      <c r="I37" s="21">
        <f t="shared" si="1"/>
        <v>0</v>
      </c>
      <c r="J37" s="21">
        <f t="shared" si="0"/>
        <v>0</v>
      </c>
      <c r="K37" s="21">
        <f t="shared" si="0"/>
        <v>0</v>
      </c>
      <c r="L37" s="1"/>
    </row>
    <row r="38" spans="2:12" ht="20.100000000000001" customHeight="1">
      <c r="B38" s="27">
        <v>41878</v>
      </c>
      <c r="C38" s="21">
        <f>VALUE(IF(ISNA(VLOOKUP(B38,reportdata!C:U,19,FALSE)),0,VLOOKUP(B38,reportdata!C:U,19,FALSE)))</f>
        <v>0</v>
      </c>
      <c r="D38" s="21">
        <f>VALUE(IF(ISNA(VLOOKUP(B38,reportdata!C:V,20,FALSE)),0,VLOOKUP(B38,reportdata!C:V,20,FALSE)))</f>
        <v>0</v>
      </c>
      <c r="E38" s="21">
        <f>VALUE(IF(ISNA(VLOOKUP(B38,reportdata!C:X,22,FALSE)),0,VLOOKUP(B38,reportdata!C:X,22,FALSE)))</f>
        <v>0</v>
      </c>
      <c r="F38" s="21">
        <f>VALUE(IF(ISNA(VLOOKUP(B38,reportdata!C:AA,25,FALSE)),0,VLOOKUP(B38,reportdata!C:AA,25,FALSE)))</f>
        <v>0</v>
      </c>
      <c r="G38" s="21">
        <f>VALUE(IF(ISNA(VLOOKUP(B38,reportdata!C:AB,26,FALSE)),0,VLOOKUP(B38,reportdata!C:AB,26,FALSE)))</f>
        <v>0</v>
      </c>
      <c r="H38" s="21">
        <f>VALUE(IF(ISNA(VLOOKUP(B38,reportdata!C:AD,28,FALSE)),0,VLOOKUP(B38,reportdata!C:AD,28,FALSE)))</f>
        <v>0</v>
      </c>
      <c r="I38" s="21">
        <f t="shared" si="1"/>
        <v>0</v>
      </c>
      <c r="J38" s="21">
        <f t="shared" si="0"/>
        <v>0</v>
      </c>
      <c r="K38" s="21">
        <f t="shared" si="0"/>
        <v>0</v>
      </c>
      <c r="L38" s="1"/>
    </row>
    <row r="39" spans="2:12" ht="20.100000000000001" customHeight="1">
      <c r="B39" s="27">
        <v>41879</v>
      </c>
      <c r="C39" s="21">
        <f>VALUE(IF(ISNA(VLOOKUP(B39,reportdata!C:U,19,FALSE)),0,VLOOKUP(B39,reportdata!C:U,19,FALSE)))</f>
        <v>0</v>
      </c>
      <c r="D39" s="21">
        <f>VALUE(IF(ISNA(VLOOKUP(B39,reportdata!C:V,20,FALSE)),0,VLOOKUP(B39,reportdata!C:V,20,FALSE)))</f>
        <v>0</v>
      </c>
      <c r="E39" s="21">
        <f>VALUE(IF(ISNA(VLOOKUP(B39,reportdata!C:X,22,FALSE)),0,VLOOKUP(B39,reportdata!C:X,22,FALSE)))</f>
        <v>0</v>
      </c>
      <c r="F39" s="21">
        <f>VALUE(IF(ISNA(VLOOKUP(B39,reportdata!C:AA,25,FALSE)),0,VLOOKUP(B39,reportdata!C:AA,25,FALSE)))</f>
        <v>0</v>
      </c>
      <c r="G39" s="21">
        <f>VALUE(IF(ISNA(VLOOKUP(B39,reportdata!C:AB,26,FALSE)),0,VLOOKUP(B39,reportdata!C:AB,26,FALSE)))</f>
        <v>0</v>
      </c>
      <c r="H39" s="21">
        <f>VALUE(IF(ISNA(VLOOKUP(B39,reportdata!C:AD,28,FALSE)),0,VLOOKUP(B39,reportdata!C:AD,28,FALSE)))</f>
        <v>0</v>
      </c>
      <c r="I39" s="21">
        <f t="shared" si="1"/>
        <v>0</v>
      </c>
      <c r="J39" s="21">
        <f t="shared" si="0"/>
        <v>0</v>
      </c>
      <c r="K39" s="21">
        <f t="shared" si="0"/>
        <v>0</v>
      </c>
      <c r="L39" s="1"/>
    </row>
    <row r="40" spans="2:12" ht="20.100000000000001" customHeight="1">
      <c r="B40" s="27">
        <v>41880</v>
      </c>
      <c r="C40" s="21">
        <f>VALUE(IF(ISNA(VLOOKUP(B40,reportdata!C:U,19,FALSE)),0,VLOOKUP(B40,reportdata!C:U,19,FALSE)))</f>
        <v>0</v>
      </c>
      <c r="D40" s="21">
        <f>VALUE(IF(ISNA(VLOOKUP(B40,reportdata!C:V,20,FALSE)),0,VLOOKUP(B40,reportdata!C:V,20,FALSE)))</f>
        <v>0</v>
      </c>
      <c r="E40" s="21">
        <f>VALUE(IF(ISNA(VLOOKUP(B40,reportdata!C:X,22,FALSE)),0,VLOOKUP(B40,reportdata!C:X,22,FALSE)))</f>
        <v>0</v>
      </c>
      <c r="F40" s="21">
        <f>VALUE(IF(ISNA(VLOOKUP(B40,reportdata!C:AA,25,FALSE)),0,VLOOKUP(B40,reportdata!C:AA,25,FALSE)))</f>
        <v>0</v>
      </c>
      <c r="G40" s="21">
        <f>VALUE(IF(ISNA(VLOOKUP(B40,reportdata!C:AB,26,FALSE)),0,VLOOKUP(B40,reportdata!C:AB,26,FALSE)))</f>
        <v>0</v>
      </c>
      <c r="H40" s="21">
        <f>VALUE(IF(ISNA(VLOOKUP(B40,reportdata!C:AD,28,FALSE)),0,VLOOKUP(B40,reportdata!C:AD,28,FALSE)))</f>
        <v>0</v>
      </c>
      <c r="I40" s="21">
        <f t="shared" si="1"/>
        <v>0</v>
      </c>
      <c r="J40" s="21">
        <f t="shared" si="0"/>
        <v>0</v>
      </c>
      <c r="K40" s="21">
        <f t="shared" si="0"/>
        <v>0</v>
      </c>
      <c r="L40" s="1"/>
    </row>
    <row r="41" spans="2:12" ht="20.100000000000001" customHeight="1">
      <c r="B41" s="27">
        <v>41881</v>
      </c>
      <c r="C41" s="21">
        <f>VALUE(IF(ISNA(VLOOKUP(B41,reportdata!C:U,19,FALSE)),0,VLOOKUP(B41,reportdata!C:U,19,FALSE)))</f>
        <v>0</v>
      </c>
      <c r="D41" s="21">
        <f>VALUE(IF(ISNA(VLOOKUP(B41,reportdata!C:V,20,FALSE)),0,VLOOKUP(B41,reportdata!C:V,20,FALSE)))</f>
        <v>0</v>
      </c>
      <c r="E41" s="21">
        <f>VALUE(IF(ISNA(VLOOKUP(B41,reportdata!C:X,22,FALSE)),0,VLOOKUP(B41,reportdata!C:X,22,FALSE)))</f>
        <v>0</v>
      </c>
      <c r="F41" s="21">
        <f>VALUE(IF(ISNA(VLOOKUP(B41,reportdata!C:AA,25,FALSE)),0,VLOOKUP(B41,reportdata!C:AA,25,FALSE)))</f>
        <v>0</v>
      </c>
      <c r="G41" s="21">
        <f>VALUE(IF(ISNA(VLOOKUP(B41,reportdata!C:AB,26,FALSE)),0,VLOOKUP(B41,reportdata!C:AB,26,FALSE)))</f>
        <v>0</v>
      </c>
      <c r="H41" s="21">
        <f>VALUE(IF(ISNA(VLOOKUP(B41,reportdata!C:AD,28,FALSE)),0,VLOOKUP(B41,reportdata!C:AD,28,FALSE)))</f>
        <v>0</v>
      </c>
      <c r="I41" s="21">
        <f t="shared" si="1"/>
        <v>0</v>
      </c>
      <c r="J41" s="21">
        <f t="shared" si="0"/>
        <v>0</v>
      </c>
      <c r="K41" s="21">
        <f t="shared" si="0"/>
        <v>0</v>
      </c>
      <c r="L41" s="1"/>
    </row>
    <row r="42" spans="2:12" ht="20.100000000000001" customHeight="1">
      <c r="B42" s="27">
        <v>41882</v>
      </c>
      <c r="C42" s="21">
        <f>VALUE(IF(ISNA(VLOOKUP(B42,reportdata!C:U,19,FALSE)),0,VLOOKUP(B42,reportdata!C:U,19,FALSE)))</f>
        <v>0</v>
      </c>
      <c r="D42" s="21">
        <f>VALUE(IF(ISNA(VLOOKUP(B42,reportdata!C:V,20,FALSE)),0,VLOOKUP(B42,reportdata!C:V,20,FALSE)))</f>
        <v>0</v>
      </c>
      <c r="E42" s="21">
        <f>VALUE(IF(ISNA(VLOOKUP(B42,reportdata!C:X,22,FALSE)),0,VLOOKUP(B42,reportdata!C:X,22,FALSE)))</f>
        <v>0</v>
      </c>
      <c r="F42" s="21">
        <f>VALUE(IF(ISNA(VLOOKUP(B42,reportdata!C:AA,25,FALSE)),0,VLOOKUP(B42,reportdata!C:AA,25,FALSE)))</f>
        <v>0</v>
      </c>
      <c r="G42" s="21">
        <f>VALUE(IF(ISNA(VLOOKUP(B42,reportdata!C:AB,26,FALSE)),0,VLOOKUP(B42,reportdata!C:AB,26,FALSE)))</f>
        <v>0</v>
      </c>
      <c r="H42" s="21">
        <f>VALUE(IF(ISNA(VLOOKUP(B42,reportdata!C:AD,28,FALSE)),0,VLOOKUP(B42,reportdata!C:AD,28,FALSE)))</f>
        <v>0</v>
      </c>
      <c r="I42" s="21">
        <f>C42+F42</f>
        <v>0</v>
      </c>
      <c r="J42" s="21">
        <f t="shared" si="0"/>
        <v>0</v>
      </c>
      <c r="K42" s="21">
        <f t="shared" si="0"/>
        <v>0</v>
      </c>
      <c r="L42" s="1"/>
    </row>
    <row r="43" spans="2:12" ht="24.75" customHeight="1">
      <c r="B43" s="6" t="s">
        <v>1</v>
      </c>
      <c r="C43" s="26">
        <f>SUM(C12:C42)</f>
        <v>7</v>
      </c>
      <c r="D43" s="4">
        <f t="shared" ref="D43:K43" si="2">SUM(D12:D42)</f>
        <v>176</v>
      </c>
      <c r="E43" s="4">
        <f t="shared" si="2"/>
        <v>190</v>
      </c>
      <c r="F43" s="4">
        <f t="shared" si="2"/>
        <v>7</v>
      </c>
      <c r="G43" s="4">
        <f t="shared" si="2"/>
        <v>225</v>
      </c>
      <c r="H43" s="4">
        <f t="shared" si="2"/>
        <v>238</v>
      </c>
      <c r="I43" s="4">
        <f t="shared" si="2"/>
        <v>14</v>
      </c>
      <c r="J43" s="4">
        <f t="shared" si="2"/>
        <v>401</v>
      </c>
      <c r="K43" s="4">
        <f t="shared" si="2"/>
        <v>428</v>
      </c>
      <c r="L43" s="7"/>
    </row>
    <row r="44" spans="2:12" ht="70.5" customHeight="1">
      <c r="B44" s="59" t="s">
        <v>14</v>
      </c>
      <c r="C44" s="60"/>
      <c r="D44" s="60"/>
      <c r="E44" s="60"/>
      <c r="F44" s="60"/>
      <c r="G44" s="60"/>
      <c r="H44" s="60"/>
      <c r="I44" s="60"/>
      <c r="J44" s="60"/>
      <c r="K44" s="60"/>
      <c r="L44" s="61"/>
    </row>
  </sheetData>
  <mergeCells count="10">
    <mergeCell ref="B44:L44"/>
    <mergeCell ref="B4:L4"/>
    <mergeCell ref="G5:L5"/>
    <mergeCell ref="B6:F9"/>
    <mergeCell ref="G8:H8"/>
    <mergeCell ref="G9:I9"/>
    <mergeCell ref="B10:B11"/>
    <mergeCell ref="C10:E10"/>
    <mergeCell ref="F10:H10"/>
    <mergeCell ref="I10:K10"/>
  </mergeCells>
  <pageMargins left="0.23622047244094491" right="0.23622047244094491" top="0.74803149606299213" bottom="0.74803149606299213" header="0.31496062992125984" footer="0.31496062992125984"/>
  <pageSetup paperSize="9" scale="81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2:N8"/>
  <sheetViews>
    <sheetView showGridLines="0" workbookViewId="0">
      <selection activeCell="G16" sqref="G16"/>
    </sheetView>
  </sheetViews>
  <sheetFormatPr defaultRowHeight="15"/>
  <cols>
    <col min="2" max="2" width="9.5703125" style="22" bestFit="1" customWidth="1"/>
    <col min="3" max="3" width="13.85546875" style="28" bestFit="1" customWidth="1"/>
    <col min="4" max="4" width="9.140625" style="31"/>
    <col min="5" max="5" width="13.7109375" style="31" customWidth="1"/>
    <col min="6" max="6" width="16.28515625" style="31" customWidth="1"/>
    <col min="7" max="7" width="24.85546875" style="31" customWidth="1"/>
    <col min="8" max="8" width="17.85546875" style="31" customWidth="1"/>
    <col min="9" max="9" width="23.85546875" style="31" customWidth="1"/>
  </cols>
  <sheetData>
    <row r="2" spans="2:14" ht="18.75" customHeight="1">
      <c r="B2" s="34">
        <f>'1-7Report'!H6</f>
        <v>41852</v>
      </c>
      <c r="C2" s="62" t="s">
        <v>96</v>
      </c>
      <c r="D2" s="63"/>
      <c r="E2" s="63"/>
      <c r="F2" s="63"/>
      <c r="G2" s="63"/>
      <c r="H2" s="63"/>
      <c r="I2" s="63"/>
    </row>
    <row r="3" spans="2:14" ht="43.5" customHeight="1">
      <c r="B3" s="5" t="s">
        <v>290</v>
      </c>
      <c r="C3" s="32" t="s">
        <v>291</v>
      </c>
      <c r="D3" s="5" t="s">
        <v>3</v>
      </c>
      <c r="E3" s="5" t="s">
        <v>292</v>
      </c>
      <c r="F3" s="5" t="s">
        <v>293</v>
      </c>
      <c r="G3" s="5" t="s">
        <v>294</v>
      </c>
      <c r="H3" s="5" t="s">
        <v>295</v>
      </c>
      <c r="I3" s="5" t="s">
        <v>296</v>
      </c>
      <c r="J3" s="29"/>
      <c r="K3" s="29"/>
      <c r="L3" s="29"/>
      <c r="M3" s="29"/>
      <c r="N3" s="29"/>
    </row>
    <row r="4" spans="2:14">
      <c r="B4" s="21">
        <v>1</v>
      </c>
      <c r="C4" s="30" t="s">
        <v>10</v>
      </c>
      <c r="D4" s="33">
        <f>'1-7Report'!C43</f>
        <v>7</v>
      </c>
      <c r="E4" s="33">
        <f>COUNTIF('1-7Report'!D12:D42,"&gt;"&amp;0)</f>
        <v>3</v>
      </c>
      <c r="F4" s="33">
        <f>'1-7Report'!I8</f>
        <v>3</v>
      </c>
      <c r="G4" s="33">
        <f>'1-7Report'!E43</f>
        <v>195</v>
      </c>
      <c r="H4" s="33"/>
      <c r="I4" s="33"/>
    </row>
    <row r="5" spans="2:14">
      <c r="B5" s="21">
        <v>2</v>
      </c>
      <c r="C5" s="30" t="s">
        <v>11</v>
      </c>
      <c r="D5" s="33">
        <f>'1-7Report'!F43</f>
        <v>7</v>
      </c>
      <c r="E5" s="33">
        <f>COUNTIF('1-7Report'!G12:G42,"&gt;"&amp;0)</f>
        <v>3</v>
      </c>
      <c r="F5" s="33">
        <f>'1-7Report'!I8</f>
        <v>3</v>
      </c>
      <c r="G5" s="33">
        <f>'1-7Report'!H43</f>
        <v>215</v>
      </c>
      <c r="H5" s="33"/>
      <c r="I5" s="33"/>
    </row>
    <row r="6" spans="2:14">
      <c r="B6" s="21">
        <v>3</v>
      </c>
      <c r="C6" s="30" t="s">
        <v>289</v>
      </c>
      <c r="D6" s="33">
        <f>'8-10Report'!C43</f>
        <v>7</v>
      </c>
      <c r="E6" s="33">
        <f>COUNTIF('8-10Report'!D12:D42,"&gt;"&amp;0)</f>
        <v>3</v>
      </c>
      <c r="F6" s="33">
        <f>'8-10Report'!I8</f>
        <v>3</v>
      </c>
      <c r="G6" s="33">
        <f>'8-10Report'!E43</f>
        <v>190</v>
      </c>
      <c r="H6" s="33"/>
      <c r="I6" s="33"/>
    </row>
    <row r="7" spans="2:14">
      <c r="B7" s="21">
        <v>4</v>
      </c>
      <c r="C7" s="30" t="s">
        <v>287</v>
      </c>
      <c r="D7" s="33">
        <f>'8-10Report'!F43</f>
        <v>7</v>
      </c>
      <c r="E7" s="33">
        <f>COUNTIF('8-10Report'!G12:G42,"&gt;"&amp;0)</f>
        <v>3</v>
      </c>
      <c r="F7" s="33">
        <f>'8-10Report'!I8</f>
        <v>3</v>
      </c>
      <c r="G7" s="33">
        <f>'8-10Report'!H43</f>
        <v>238</v>
      </c>
      <c r="H7" s="33"/>
      <c r="I7" s="33"/>
    </row>
    <row r="8" spans="2:14">
      <c r="B8" s="21"/>
      <c r="C8" s="30" t="s">
        <v>1</v>
      </c>
      <c r="D8" s="4">
        <f>SUM(D4:D7)</f>
        <v>28</v>
      </c>
      <c r="E8" s="4">
        <f t="shared" ref="E8:I8" si="0">SUM(E4:E7)</f>
        <v>12</v>
      </c>
      <c r="F8" s="4">
        <f t="shared" si="0"/>
        <v>12</v>
      </c>
      <c r="G8" s="4">
        <f t="shared" si="0"/>
        <v>838</v>
      </c>
      <c r="H8" s="4">
        <f t="shared" si="0"/>
        <v>0</v>
      </c>
      <c r="I8" s="4">
        <f t="shared" si="0"/>
        <v>0</v>
      </c>
    </row>
  </sheetData>
  <mergeCells count="1">
    <mergeCell ref="C2:I2"/>
  </mergeCells>
  <pageMargins left="0.23622047244094491" right="0.23622047244094491" top="0.74803149606299213" bottom="0.74803149606299213" header="0.31496062992125984" footer="0.31496062992125984"/>
  <pageSetup paperSize="9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2:BY5"/>
  <sheetViews>
    <sheetView topLeftCell="F1" workbookViewId="0">
      <selection sqref="A1:XFD1048566"/>
    </sheetView>
  </sheetViews>
  <sheetFormatPr defaultRowHeight="15"/>
  <cols>
    <col min="3" max="3" width="10.42578125" bestFit="1" customWidth="1"/>
    <col min="5" max="5" width="22" bestFit="1" customWidth="1"/>
    <col min="6" max="6" width="9.85546875" bestFit="1" customWidth="1"/>
    <col min="7" max="7" width="18.140625" bestFit="1" customWidth="1"/>
    <col min="9" max="9" width="17.7109375" bestFit="1" customWidth="1"/>
    <col min="10" max="11" width="23" bestFit="1" customWidth="1"/>
    <col min="12" max="12" width="28.140625" bestFit="1" customWidth="1"/>
    <col min="13" max="13" width="30" customWidth="1"/>
    <col min="14" max="14" width="27.140625" bestFit="1" customWidth="1"/>
    <col min="15" max="15" width="27.5703125" customWidth="1"/>
    <col min="16" max="16" width="26.140625" bestFit="1" customWidth="1"/>
    <col min="17" max="17" width="26.140625" customWidth="1"/>
    <col min="18" max="18" width="31.28515625" bestFit="1" customWidth="1"/>
    <col min="19" max="19" width="28.7109375" bestFit="1" customWidth="1"/>
    <col min="20" max="20" width="30.28515625" bestFit="1" customWidth="1"/>
    <col min="21" max="21" width="18.7109375" bestFit="1" customWidth="1"/>
    <col min="22" max="23" width="24" bestFit="1" customWidth="1"/>
    <col min="24" max="24" width="29.140625" bestFit="1" customWidth="1"/>
    <col min="25" max="25" width="26.7109375" bestFit="1" customWidth="1"/>
    <col min="26" max="26" width="28.140625" bestFit="1" customWidth="1"/>
    <col min="27" max="27" width="22.85546875" bestFit="1" customWidth="1"/>
    <col min="28" max="29" width="28.140625" bestFit="1" customWidth="1"/>
    <col min="30" max="30" width="33.28515625" bestFit="1" customWidth="1"/>
    <col min="31" max="31" width="30.85546875" bestFit="1" customWidth="1"/>
    <col min="32" max="32" width="32.28515625" bestFit="1" customWidth="1"/>
    <col min="33" max="33" width="23" bestFit="1" customWidth="1"/>
    <col min="34" max="34" width="18.42578125" bestFit="1" customWidth="1"/>
    <col min="35" max="35" width="28.28515625" bestFit="1" customWidth="1"/>
    <col min="36" max="36" width="23.7109375" bestFit="1" customWidth="1"/>
    <col min="37" max="37" width="28.28515625" bestFit="1" customWidth="1"/>
    <col min="38" max="38" width="23.7109375" bestFit="1" customWidth="1"/>
    <col min="39" max="39" width="33.42578125" bestFit="1" customWidth="1"/>
    <col min="40" max="40" width="28.85546875" bestFit="1" customWidth="1"/>
    <col min="41" max="41" width="31" bestFit="1" customWidth="1"/>
    <col min="42" max="42" width="26.42578125" bestFit="1" customWidth="1"/>
    <col min="43" max="43" width="32.42578125" bestFit="1" customWidth="1"/>
    <col min="44" max="44" width="27.85546875" bestFit="1" customWidth="1"/>
    <col min="45" max="45" width="16.7109375" bestFit="1" customWidth="1"/>
    <col min="46" max="46" width="24" bestFit="1" customWidth="1"/>
    <col min="47" max="47" width="26" bestFit="1" customWidth="1"/>
    <col min="48" max="48" width="21.7109375" bestFit="1" customWidth="1"/>
    <col min="49" max="49" width="25" bestFit="1" customWidth="1"/>
    <col min="50" max="50" width="27" bestFit="1" customWidth="1"/>
    <col min="51" max="51" width="22.7109375" bestFit="1" customWidth="1"/>
    <col min="52" max="52" width="25" bestFit="1" customWidth="1"/>
    <col min="53" max="53" width="27" bestFit="1" customWidth="1"/>
    <col min="54" max="54" width="22.7109375" bestFit="1" customWidth="1"/>
    <col min="55" max="55" width="25" bestFit="1" customWidth="1"/>
    <col min="56" max="56" width="27" bestFit="1" customWidth="1"/>
    <col min="57" max="57" width="22.7109375" bestFit="1" customWidth="1"/>
    <col min="58" max="58" width="14.140625" bestFit="1" customWidth="1"/>
    <col min="59" max="59" width="7.140625" bestFit="1" customWidth="1"/>
    <col min="60" max="60" width="11.140625" bestFit="1" customWidth="1"/>
    <col min="61" max="61" width="28.140625" bestFit="1" customWidth="1"/>
    <col min="62" max="62" width="18.28515625" bestFit="1" customWidth="1"/>
    <col min="63" max="63" width="19.85546875" bestFit="1" customWidth="1"/>
    <col min="64" max="64" width="18.28515625" bestFit="1" customWidth="1"/>
    <col min="65" max="65" width="19.42578125" bestFit="1" customWidth="1"/>
    <col min="66" max="66" width="10.7109375" bestFit="1" customWidth="1"/>
  </cols>
  <sheetData>
    <row r="2" spans="1:77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42</v>
      </c>
      <c r="AA2" t="s">
        <v>43</v>
      </c>
      <c r="AB2" t="s">
        <v>44</v>
      </c>
      <c r="AC2" t="s">
        <v>45</v>
      </c>
      <c r="AD2" t="s">
        <v>46</v>
      </c>
      <c r="AE2" t="s">
        <v>47</v>
      </c>
      <c r="AF2" t="s">
        <v>48</v>
      </c>
      <c r="AG2" t="s">
        <v>49</v>
      </c>
      <c r="AH2" t="s">
        <v>50</v>
      </c>
      <c r="AI2" t="s">
        <v>51</v>
      </c>
      <c r="AJ2" t="s">
        <v>52</v>
      </c>
      <c r="AK2" t="s">
        <v>53</v>
      </c>
      <c r="AL2" t="s">
        <v>54</v>
      </c>
      <c r="AM2" t="s">
        <v>55</v>
      </c>
      <c r="AN2" t="s">
        <v>56</v>
      </c>
      <c r="AO2" t="s">
        <v>57</v>
      </c>
      <c r="AP2" t="s">
        <v>58</v>
      </c>
      <c r="AQ2" t="s">
        <v>59</v>
      </c>
      <c r="AR2" t="s">
        <v>60</v>
      </c>
      <c r="AS2" t="s">
        <v>61</v>
      </c>
      <c r="AT2" t="s">
        <v>62</v>
      </c>
      <c r="AU2" t="s">
        <v>63</v>
      </c>
      <c r="AV2" t="s">
        <v>64</v>
      </c>
      <c r="AW2" t="s">
        <v>65</v>
      </c>
      <c r="AX2" t="s">
        <v>66</v>
      </c>
      <c r="AY2" t="s">
        <v>67</v>
      </c>
      <c r="AZ2" t="s">
        <v>68</v>
      </c>
      <c r="BA2" t="s">
        <v>69</v>
      </c>
      <c r="BB2" t="s">
        <v>70</v>
      </c>
      <c r="BC2" t="s">
        <v>71</v>
      </c>
      <c r="BD2" t="s">
        <v>72</v>
      </c>
      <c r="BE2" t="s">
        <v>73</v>
      </c>
      <c r="BF2" t="s">
        <v>74</v>
      </c>
      <c r="BG2" t="s">
        <v>75</v>
      </c>
      <c r="BH2" t="s">
        <v>76</v>
      </c>
      <c r="BI2" t="s">
        <v>77</v>
      </c>
      <c r="BJ2" t="s">
        <v>78</v>
      </c>
      <c r="BK2" t="s">
        <v>79</v>
      </c>
      <c r="BL2" t="s">
        <v>80</v>
      </c>
      <c r="BM2" t="s">
        <v>81</v>
      </c>
      <c r="BN2" t="s">
        <v>82</v>
      </c>
      <c r="BO2" t="s">
        <v>83</v>
      </c>
      <c r="BP2" t="s">
        <v>84</v>
      </c>
      <c r="BQ2" t="s">
        <v>85</v>
      </c>
      <c r="BR2" t="s">
        <v>86</v>
      </c>
      <c r="BS2" t="s">
        <v>87</v>
      </c>
      <c r="BT2" t="s">
        <v>88</v>
      </c>
      <c r="BU2" t="s">
        <v>89</v>
      </c>
      <c r="BV2" t="s">
        <v>90</v>
      </c>
      <c r="BW2" t="s">
        <v>91</v>
      </c>
      <c r="BX2" t="s">
        <v>92</v>
      </c>
      <c r="BY2" t="s">
        <v>93</v>
      </c>
    </row>
    <row r="3" spans="1:77">
      <c r="A3" t="s">
        <v>94</v>
      </c>
      <c r="B3" t="s">
        <v>95</v>
      </c>
      <c r="C3" s="9">
        <v>41852</v>
      </c>
      <c r="E3" t="s">
        <v>96</v>
      </c>
      <c r="F3" t="s">
        <v>97</v>
      </c>
      <c r="G3" t="s">
        <v>98</v>
      </c>
      <c r="H3" t="s">
        <v>99</v>
      </c>
      <c r="I3" t="s">
        <v>100</v>
      </c>
      <c r="J3" t="s">
        <v>101</v>
      </c>
      <c r="K3" t="s">
        <v>102</v>
      </c>
      <c r="L3" t="s">
        <v>103</v>
      </c>
      <c r="M3" t="s">
        <v>104</v>
      </c>
      <c r="N3" t="s">
        <v>105</v>
      </c>
      <c r="O3" t="s">
        <v>100</v>
      </c>
      <c r="P3" t="s">
        <v>103</v>
      </c>
      <c r="Q3" t="s">
        <v>102</v>
      </c>
      <c r="R3" t="s">
        <v>106</v>
      </c>
      <c r="S3" t="s">
        <v>104</v>
      </c>
      <c r="T3" t="s">
        <v>107</v>
      </c>
      <c r="U3" t="s">
        <v>100</v>
      </c>
      <c r="V3" t="s">
        <v>108</v>
      </c>
      <c r="W3" t="s">
        <v>102</v>
      </c>
      <c r="X3" t="s">
        <v>109</v>
      </c>
      <c r="Y3" t="s">
        <v>104</v>
      </c>
      <c r="Z3" t="s">
        <v>103</v>
      </c>
      <c r="AA3" t="s">
        <v>100</v>
      </c>
      <c r="AB3" t="s">
        <v>110</v>
      </c>
      <c r="AC3" t="s">
        <v>102</v>
      </c>
      <c r="AD3" t="s">
        <v>111</v>
      </c>
      <c r="AE3" t="s">
        <v>104</v>
      </c>
      <c r="AF3" t="s">
        <v>109</v>
      </c>
      <c r="AG3" t="s">
        <v>112</v>
      </c>
      <c r="AI3" t="s">
        <v>113</v>
      </c>
      <c r="AK3">
        <v>1</v>
      </c>
      <c r="AM3" t="s">
        <v>114</v>
      </c>
      <c r="AO3" t="s">
        <v>110</v>
      </c>
      <c r="AQ3" t="s">
        <v>115</v>
      </c>
      <c r="AT3" t="s">
        <v>116</v>
      </c>
      <c r="BI3" t="s">
        <v>117</v>
      </c>
      <c r="BJ3" t="s">
        <v>118</v>
      </c>
      <c r="BK3" t="s">
        <v>119</v>
      </c>
      <c r="BL3" t="s">
        <v>120</v>
      </c>
      <c r="BM3" t="s">
        <v>121</v>
      </c>
      <c r="BN3" t="s">
        <v>122</v>
      </c>
      <c r="BO3" t="s">
        <v>95</v>
      </c>
      <c r="BR3" t="s">
        <v>123</v>
      </c>
      <c r="BS3" t="s">
        <v>124</v>
      </c>
      <c r="BT3">
        <v>5082</v>
      </c>
      <c r="BU3" t="s">
        <v>125</v>
      </c>
      <c r="BV3" t="s">
        <v>126</v>
      </c>
      <c r="BW3">
        <v>1</v>
      </c>
      <c r="BY3">
        <v>-1</v>
      </c>
    </row>
    <row r="4" spans="1:77">
      <c r="A4" t="s">
        <v>143</v>
      </c>
      <c r="B4" t="s">
        <v>95</v>
      </c>
      <c r="C4" s="9">
        <v>41855</v>
      </c>
      <c r="E4" t="s">
        <v>96</v>
      </c>
      <c r="F4" t="s">
        <v>97</v>
      </c>
      <c r="G4" t="s">
        <v>98</v>
      </c>
      <c r="H4" t="s">
        <v>99</v>
      </c>
      <c r="I4" t="s">
        <v>100</v>
      </c>
      <c r="J4" t="s">
        <v>101</v>
      </c>
      <c r="K4" t="s">
        <v>102</v>
      </c>
      <c r="L4" t="s">
        <v>103</v>
      </c>
      <c r="M4" t="s">
        <v>130</v>
      </c>
      <c r="N4" t="s">
        <v>144</v>
      </c>
      <c r="O4" t="s">
        <v>100</v>
      </c>
      <c r="P4" t="s">
        <v>103</v>
      </c>
      <c r="Q4" t="s">
        <v>102</v>
      </c>
      <c r="R4" t="s">
        <v>108</v>
      </c>
      <c r="S4" t="s">
        <v>101</v>
      </c>
      <c r="T4" t="s">
        <v>105</v>
      </c>
      <c r="U4" t="s">
        <v>100</v>
      </c>
      <c r="V4" t="s">
        <v>108</v>
      </c>
      <c r="W4" t="s">
        <v>102</v>
      </c>
      <c r="X4" t="s">
        <v>109</v>
      </c>
      <c r="Y4" t="s">
        <v>103</v>
      </c>
      <c r="Z4" t="s">
        <v>107</v>
      </c>
      <c r="AA4" t="s">
        <v>100</v>
      </c>
      <c r="AB4" t="s">
        <v>110</v>
      </c>
      <c r="AC4" t="s">
        <v>102</v>
      </c>
      <c r="AD4" t="s">
        <v>111</v>
      </c>
      <c r="AE4" t="s">
        <v>109</v>
      </c>
      <c r="AF4" t="s">
        <v>108</v>
      </c>
      <c r="AG4" t="s">
        <v>112</v>
      </c>
      <c r="AI4" t="s">
        <v>113</v>
      </c>
      <c r="AK4">
        <v>1</v>
      </c>
      <c r="AM4" t="s">
        <v>145</v>
      </c>
      <c r="AO4" t="s">
        <v>132</v>
      </c>
      <c r="AQ4" t="s">
        <v>146</v>
      </c>
      <c r="AT4" t="s">
        <v>116</v>
      </c>
      <c r="AU4" t="s">
        <v>102</v>
      </c>
      <c r="BI4" t="s">
        <v>147</v>
      </c>
      <c r="BJ4" t="s">
        <v>148</v>
      </c>
      <c r="BK4" t="s">
        <v>149</v>
      </c>
      <c r="BL4" t="s">
        <v>120</v>
      </c>
      <c r="BM4" t="s">
        <v>139</v>
      </c>
      <c r="BN4" t="s">
        <v>122</v>
      </c>
      <c r="BO4" t="s">
        <v>95</v>
      </c>
      <c r="BR4" t="s">
        <v>123</v>
      </c>
      <c r="BS4" t="s">
        <v>150</v>
      </c>
      <c r="BT4">
        <v>5110</v>
      </c>
      <c r="BU4" t="s">
        <v>151</v>
      </c>
      <c r="BV4" t="s">
        <v>152</v>
      </c>
      <c r="BW4">
        <v>3</v>
      </c>
      <c r="BY4">
        <v>-1</v>
      </c>
    </row>
    <row r="5" spans="1:77">
      <c r="A5" t="s">
        <v>153</v>
      </c>
      <c r="B5" t="s">
        <v>95</v>
      </c>
      <c r="C5" s="9">
        <v>41856</v>
      </c>
      <c r="E5" t="s">
        <v>96</v>
      </c>
      <c r="F5" t="s">
        <v>97</v>
      </c>
      <c r="G5" t="s">
        <v>98</v>
      </c>
      <c r="H5" t="s">
        <v>99</v>
      </c>
      <c r="I5" t="s">
        <v>154</v>
      </c>
      <c r="J5" t="s">
        <v>108</v>
      </c>
      <c r="K5" t="s">
        <v>155</v>
      </c>
      <c r="L5" t="s">
        <v>109</v>
      </c>
      <c r="M5" t="s">
        <v>156</v>
      </c>
      <c r="N5" t="s">
        <v>103</v>
      </c>
      <c r="O5" t="s">
        <v>154</v>
      </c>
      <c r="P5" t="s">
        <v>157</v>
      </c>
      <c r="Q5" t="s">
        <v>155</v>
      </c>
      <c r="R5" t="s">
        <v>110</v>
      </c>
      <c r="S5" t="s">
        <v>156</v>
      </c>
      <c r="T5" t="s">
        <v>106</v>
      </c>
      <c r="U5" t="s">
        <v>154</v>
      </c>
      <c r="V5" t="s">
        <v>158</v>
      </c>
      <c r="W5" t="s">
        <v>155</v>
      </c>
      <c r="X5" t="s">
        <v>130</v>
      </c>
      <c r="Y5" t="s">
        <v>156</v>
      </c>
      <c r="Z5" t="s">
        <v>144</v>
      </c>
      <c r="AA5" t="s">
        <v>154</v>
      </c>
      <c r="AB5" t="s">
        <v>106</v>
      </c>
      <c r="AC5" t="s">
        <v>155</v>
      </c>
      <c r="AD5" t="s">
        <v>159</v>
      </c>
      <c r="AE5" t="s">
        <v>156</v>
      </c>
      <c r="AF5" t="s">
        <v>103</v>
      </c>
      <c r="AG5" t="s">
        <v>104</v>
      </c>
      <c r="AI5" t="s">
        <v>160</v>
      </c>
      <c r="AK5">
        <v>1</v>
      </c>
      <c r="AM5" t="s">
        <v>161</v>
      </c>
      <c r="AO5" t="s">
        <v>162</v>
      </c>
      <c r="AQ5" t="s">
        <v>163</v>
      </c>
      <c r="AT5" t="s">
        <v>116</v>
      </c>
      <c r="BI5" t="s">
        <v>164</v>
      </c>
      <c r="BJ5" t="s">
        <v>165</v>
      </c>
      <c r="BK5" t="s">
        <v>166</v>
      </c>
      <c r="BL5" t="s">
        <v>120</v>
      </c>
      <c r="BM5" t="s">
        <v>167</v>
      </c>
      <c r="BN5" t="s">
        <v>122</v>
      </c>
      <c r="BO5" t="s">
        <v>168</v>
      </c>
      <c r="BR5" t="s">
        <v>123</v>
      </c>
      <c r="BS5" t="s">
        <v>169</v>
      </c>
      <c r="BT5">
        <v>5111</v>
      </c>
      <c r="BU5" t="s">
        <v>170</v>
      </c>
      <c r="BV5" t="s">
        <v>152</v>
      </c>
      <c r="BW5">
        <v>4</v>
      </c>
      <c r="BY5">
        <v>-1</v>
      </c>
    </row>
  </sheetData>
  <sortState ref="A3:BY5">
    <sortCondition ref="C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2:BY15"/>
  <sheetViews>
    <sheetView workbookViewId="0">
      <selection sqref="A1:XFD1048576"/>
    </sheetView>
  </sheetViews>
  <sheetFormatPr defaultRowHeight="15"/>
  <cols>
    <col min="1" max="1" width="28.28515625" bestFit="1" customWidth="1"/>
    <col min="2" max="3" width="10.42578125" bestFit="1" customWidth="1"/>
    <col min="4" max="4" width="22.42578125" bestFit="1" customWidth="1"/>
    <col min="5" max="5" width="23.85546875" bestFit="1" customWidth="1"/>
    <col min="6" max="6" width="9.85546875" bestFit="1" customWidth="1"/>
    <col min="7" max="7" width="18.140625" bestFit="1" customWidth="1"/>
    <col min="8" max="8" width="9.28515625" bestFit="1" customWidth="1"/>
    <col min="9" max="9" width="20" bestFit="1" customWidth="1"/>
    <col min="10" max="11" width="25.28515625" bestFit="1" customWidth="1"/>
    <col min="12" max="12" width="30.42578125" bestFit="1" customWidth="1"/>
    <col min="13" max="13" width="28" bestFit="1" customWidth="1"/>
    <col min="14" max="14" width="29.42578125" bestFit="1" customWidth="1"/>
    <col min="15" max="15" width="23" bestFit="1" customWidth="1"/>
    <col min="16" max="17" width="28.42578125" bestFit="1" customWidth="1"/>
    <col min="18" max="18" width="33.5703125" bestFit="1" customWidth="1"/>
    <col min="19" max="19" width="31" bestFit="1" customWidth="1"/>
    <col min="20" max="20" width="32.5703125" bestFit="1" customWidth="1"/>
    <col min="21" max="21" width="21" bestFit="1" customWidth="1"/>
    <col min="22" max="23" width="26.28515625" bestFit="1" customWidth="1"/>
    <col min="24" max="24" width="31.42578125" bestFit="1" customWidth="1"/>
    <col min="25" max="25" width="29" bestFit="1" customWidth="1"/>
    <col min="26" max="26" width="30.42578125" bestFit="1" customWidth="1"/>
    <col min="27" max="27" width="25.140625" bestFit="1" customWidth="1"/>
    <col min="28" max="29" width="30.42578125" bestFit="1" customWidth="1"/>
    <col min="30" max="30" width="35.5703125" bestFit="1" customWidth="1"/>
    <col min="31" max="31" width="33.140625" bestFit="1" customWidth="1"/>
    <col min="32" max="32" width="34.5703125" bestFit="1" customWidth="1"/>
    <col min="33" max="33" width="25.28515625" bestFit="1" customWidth="1"/>
    <col min="34" max="34" width="20.7109375" bestFit="1" customWidth="1"/>
    <col min="35" max="35" width="30.5703125" bestFit="1" customWidth="1"/>
    <col min="36" max="36" width="26" bestFit="1" customWidth="1"/>
    <col min="37" max="37" width="30.5703125" bestFit="1" customWidth="1"/>
    <col min="38" max="38" width="26" bestFit="1" customWidth="1"/>
    <col min="39" max="39" width="35.7109375" bestFit="1" customWidth="1"/>
    <col min="40" max="40" width="31.140625" bestFit="1" customWidth="1"/>
    <col min="41" max="41" width="33.28515625" bestFit="1" customWidth="1"/>
    <col min="42" max="42" width="28.7109375" bestFit="1" customWidth="1"/>
    <col min="43" max="43" width="34.7109375" bestFit="1" customWidth="1"/>
    <col min="44" max="44" width="30.140625" bestFit="1" customWidth="1"/>
    <col min="45" max="45" width="19" bestFit="1" customWidth="1"/>
    <col min="46" max="46" width="26.28515625" bestFit="1" customWidth="1"/>
    <col min="47" max="47" width="28.28515625" bestFit="1" customWidth="1"/>
    <col min="48" max="48" width="24" bestFit="1" customWidth="1"/>
    <col min="49" max="49" width="27.28515625" bestFit="1" customWidth="1"/>
    <col min="50" max="50" width="29.28515625" bestFit="1" customWidth="1"/>
    <col min="51" max="51" width="25" bestFit="1" customWidth="1"/>
    <col min="52" max="52" width="27.28515625" bestFit="1" customWidth="1"/>
    <col min="53" max="53" width="29.28515625" bestFit="1" customWidth="1"/>
    <col min="54" max="54" width="25" bestFit="1" customWidth="1"/>
    <col min="55" max="55" width="27.28515625" bestFit="1" customWidth="1"/>
    <col min="56" max="56" width="29.28515625" bestFit="1" customWidth="1"/>
    <col min="57" max="57" width="25" bestFit="1" customWidth="1"/>
    <col min="58" max="58" width="16.42578125" bestFit="1" customWidth="1"/>
    <col min="59" max="59" width="9.42578125" bestFit="1" customWidth="1"/>
    <col min="60" max="60" width="13.42578125" bestFit="1" customWidth="1"/>
    <col min="61" max="61" width="28.140625" bestFit="1" customWidth="1"/>
    <col min="62" max="62" width="20.5703125" bestFit="1" customWidth="1"/>
    <col min="63" max="63" width="22.140625" bestFit="1" customWidth="1"/>
    <col min="64" max="64" width="20.5703125" bestFit="1" customWidth="1"/>
    <col min="65" max="65" width="21.7109375" bestFit="1" customWidth="1"/>
    <col min="66" max="66" width="11.28515625" bestFit="1" customWidth="1"/>
    <col min="67" max="67" width="10.42578125" bestFit="1" customWidth="1"/>
    <col min="68" max="68" width="11.5703125" bestFit="1" customWidth="1"/>
    <col min="69" max="69" width="7.42578125" bestFit="1" customWidth="1"/>
    <col min="70" max="70" width="16.140625" bestFit="1" customWidth="1"/>
    <col min="71" max="71" width="42.42578125" bestFit="1" customWidth="1"/>
    <col min="72" max="72" width="6" bestFit="1" customWidth="1"/>
    <col min="73" max="73" width="37.5703125" bestFit="1" customWidth="1"/>
    <col min="74" max="74" width="19.7109375" bestFit="1" customWidth="1"/>
    <col min="75" max="75" width="9.28515625" bestFit="1" customWidth="1"/>
    <col min="76" max="76" width="22" bestFit="1" customWidth="1"/>
    <col min="77" max="77" width="16.28515625" bestFit="1" customWidth="1"/>
  </cols>
  <sheetData>
    <row r="2" spans="1:77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t="s">
        <v>34</v>
      </c>
      <c r="S2" t="s">
        <v>35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42</v>
      </c>
      <c r="AA2" t="s">
        <v>43</v>
      </c>
      <c r="AB2" t="s">
        <v>44</v>
      </c>
      <c r="AC2" t="s">
        <v>45</v>
      </c>
      <c r="AD2" t="s">
        <v>46</v>
      </c>
      <c r="AE2" t="s">
        <v>47</v>
      </c>
      <c r="AF2" t="s">
        <v>48</v>
      </c>
      <c r="AG2" t="s">
        <v>49</v>
      </c>
      <c r="AH2" t="s">
        <v>50</v>
      </c>
      <c r="AI2" t="s">
        <v>51</v>
      </c>
      <c r="AJ2" t="s">
        <v>52</v>
      </c>
      <c r="AK2" t="s">
        <v>53</v>
      </c>
      <c r="AL2" t="s">
        <v>54</v>
      </c>
      <c r="AM2" t="s">
        <v>55</v>
      </c>
      <c r="AN2" t="s">
        <v>56</v>
      </c>
      <c r="AO2" t="s">
        <v>57</v>
      </c>
      <c r="AP2" t="s">
        <v>58</v>
      </c>
      <c r="AQ2" t="s">
        <v>59</v>
      </c>
      <c r="AR2" t="s">
        <v>60</v>
      </c>
      <c r="AS2" t="s">
        <v>61</v>
      </c>
      <c r="AT2" t="s">
        <v>62</v>
      </c>
      <c r="AU2" t="s">
        <v>63</v>
      </c>
      <c r="AV2" t="s">
        <v>64</v>
      </c>
      <c r="AW2" t="s">
        <v>65</v>
      </c>
      <c r="AX2" t="s">
        <v>66</v>
      </c>
      <c r="AY2" t="s">
        <v>67</v>
      </c>
      <c r="AZ2" t="s">
        <v>68</v>
      </c>
      <c r="BA2" t="s">
        <v>69</v>
      </c>
      <c r="BB2" t="s">
        <v>70</v>
      </c>
      <c r="BC2" t="s">
        <v>71</v>
      </c>
      <c r="BD2" t="s">
        <v>72</v>
      </c>
      <c r="BE2" t="s">
        <v>73</v>
      </c>
      <c r="BF2" t="s">
        <v>74</v>
      </c>
      <c r="BG2" t="s">
        <v>75</v>
      </c>
      <c r="BH2" t="s">
        <v>76</v>
      </c>
      <c r="BI2" t="s">
        <v>77</v>
      </c>
      <c r="BJ2" t="s">
        <v>78</v>
      </c>
      <c r="BK2" t="s">
        <v>79</v>
      </c>
      <c r="BL2" t="s">
        <v>80</v>
      </c>
      <c r="BM2" t="s">
        <v>81</v>
      </c>
      <c r="BN2" t="s">
        <v>82</v>
      </c>
      <c r="BO2" t="s">
        <v>83</v>
      </c>
      <c r="BP2" t="s">
        <v>84</v>
      </c>
      <c r="BQ2" t="s">
        <v>85</v>
      </c>
      <c r="BR2" t="s">
        <v>86</v>
      </c>
      <c r="BS2" t="s">
        <v>87</v>
      </c>
      <c r="BT2" t="s">
        <v>88</v>
      </c>
      <c r="BU2" t="s">
        <v>89</v>
      </c>
      <c r="BV2" t="s">
        <v>90</v>
      </c>
      <c r="BW2" t="s">
        <v>91</v>
      </c>
      <c r="BX2" t="s">
        <v>92</v>
      </c>
      <c r="BY2" t="s">
        <v>93</v>
      </c>
    </row>
    <row r="3" spans="1:77">
      <c r="A3" t="s">
        <v>94</v>
      </c>
      <c r="B3" t="s">
        <v>95</v>
      </c>
      <c r="C3" s="9">
        <v>41852</v>
      </c>
      <c r="E3" t="s">
        <v>96</v>
      </c>
      <c r="F3" t="s">
        <v>97</v>
      </c>
      <c r="G3" t="s">
        <v>98</v>
      </c>
      <c r="H3" t="s">
        <v>99</v>
      </c>
      <c r="I3" t="s">
        <v>100</v>
      </c>
      <c r="J3" t="s">
        <v>101</v>
      </c>
      <c r="K3" t="s">
        <v>102</v>
      </c>
      <c r="L3" t="s">
        <v>103</v>
      </c>
      <c r="M3" t="s">
        <v>104</v>
      </c>
      <c r="N3" t="s">
        <v>105</v>
      </c>
      <c r="O3" t="s">
        <v>100</v>
      </c>
      <c r="P3" t="s">
        <v>103</v>
      </c>
      <c r="Q3" t="s">
        <v>102</v>
      </c>
      <c r="R3" t="s">
        <v>106</v>
      </c>
      <c r="S3" t="s">
        <v>104</v>
      </c>
      <c r="T3" t="s">
        <v>107</v>
      </c>
      <c r="U3" t="s">
        <v>100</v>
      </c>
      <c r="V3" t="s">
        <v>108</v>
      </c>
      <c r="W3" t="s">
        <v>102</v>
      </c>
      <c r="X3" t="s">
        <v>109</v>
      </c>
      <c r="Y3" t="s">
        <v>104</v>
      </c>
      <c r="Z3" t="s">
        <v>103</v>
      </c>
      <c r="AA3" t="s">
        <v>100</v>
      </c>
      <c r="AB3" t="s">
        <v>110</v>
      </c>
      <c r="AC3" t="s">
        <v>102</v>
      </c>
      <c r="AD3" t="s">
        <v>111</v>
      </c>
      <c r="AE3" t="s">
        <v>104</v>
      </c>
      <c r="AF3" t="s">
        <v>109</v>
      </c>
      <c r="AG3" t="s">
        <v>112</v>
      </c>
      <c r="AI3" t="s">
        <v>113</v>
      </c>
      <c r="AK3">
        <v>1</v>
      </c>
      <c r="AM3" t="s">
        <v>114</v>
      </c>
      <c r="AO3" t="s">
        <v>110</v>
      </c>
      <c r="AQ3" t="s">
        <v>115</v>
      </c>
      <c r="AT3" t="s">
        <v>116</v>
      </c>
      <c r="BI3" t="s">
        <v>117</v>
      </c>
      <c r="BJ3" t="s">
        <v>118</v>
      </c>
      <c r="BK3" t="s">
        <v>119</v>
      </c>
      <c r="BL3" t="s">
        <v>120</v>
      </c>
      <c r="BM3" t="s">
        <v>121</v>
      </c>
      <c r="BN3" t="s">
        <v>122</v>
      </c>
      <c r="BO3" t="s">
        <v>95</v>
      </c>
      <c r="BR3" t="s">
        <v>123</v>
      </c>
      <c r="BS3" t="s">
        <v>124</v>
      </c>
      <c r="BT3">
        <v>5082</v>
      </c>
      <c r="BU3" t="s">
        <v>125</v>
      </c>
      <c r="BV3" t="s">
        <v>126</v>
      </c>
      <c r="BW3">
        <v>1</v>
      </c>
      <c r="BY3">
        <v>-1</v>
      </c>
    </row>
    <row r="4" spans="1:77" hidden="1">
      <c r="A4" t="s">
        <v>127</v>
      </c>
      <c r="B4" t="s">
        <v>95</v>
      </c>
      <c r="C4" s="9">
        <v>41853</v>
      </c>
      <c r="E4" t="s">
        <v>284</v>
      </c>
      <c r="F4" t="s">
        <v>97</v>
      </c>
      <c r="G4" t="s">
        <v>98</v>
      </c>
      <c r="H4" t="s">
        <v>99</v>
      </c>
      <c r="I4" t="s">
        <v>128</v>
      </c>
      <c r="J4" t="s">
        <v>103</v>
      </c>
      <c r="K4" t="s">
        <v>129</v>
      </c>
      <c r="L4" t="s">
        <v>106</v>
      </c>
      <c r="M4" t="s">
        <v>102</v>
      </c>
      <c r="N4" t="s">
        <v>101</v>
      </c>
      <c r="O4" t="s">
        <v>128</v>
      </c>
      <c r="P4" t="s">
        <v>101</v>
      </c>
      <c r="Q4" t="s">
        <v>129</v>
      </c>
      <c r="R4" t="s">
        <v>103</v>
      </c>
      <c r="S4" t="s">
        <v>102</v>
      </c>
      <c r="T4" t="s">
        <v>130</v>
      </c>
      <c r="U4" t="s">
        <v>128</v>
      </c>
      <c r="V4" t="s">
        <v>109</v>
      </c>
      <c r="W4" t="s">
        <v>129</v>
      </c>
      <c r="X4" t="s">
        <v>110</v>
      </c>
      <c r="Y4" t="s">
        <v>102</v>
      </c>
      <c r="Z4" t="s">
        <v>108</v>
      </c>
      <c r="AA4" t="s">
        <v>128</v>
      </c>
      <c r="AB4" t="s">
        <v>130</v>
      </c>
      <c r="AC4" t="s">
        <v>129</v>
      </c>
      <c r="AD4" t="s">
        <v>101</v>
      </c>
      <c r="AE4" t="s">
        <v>102</v>
      </c>
      <c r="AF4" t="s">
        <v>129</v>
      </c>
      <c r="AG4" t="s">
        <v>131</v>
      </c>
      <c r="AI4" t="s">
        <v>132</v>
      </c>
      <c r="AK4">
        <v>1</v>
      </c>
      <c r="AM4" t="s">
        <v>133</v>
      </c>
      <c r="AO4" t="s">
        <v>134</v>
      </c>
      <c r="AQ4" t="s">
        <v>135</v>
      </c>
      <c r="AT4" t="s">
        <v>116</v>
      </c>
      <c r="BI4" t="s">
        <v>136</v>
      </c>
      <c r="BJ4" t="s">
        <v>137</v>
      </c>
      <c r="BK4" t="s">
        <v>138</v>
      </c>
      <c r="BL4" t="s">
        <v>120</v>
      </c>
      <c r="BM4" t="s">
        <v>139</v>
      </c>
      <c r="BN4" t="s">
        <v>122</v>
      </c>
      <c r="BO4" t="s">
        <v>95</v>
      </c>
      <c r="BR4" t="s">
        <v>123</v>
      </c>
      <c r="BS4" t="s">
        <v>140</v>
      </c>
      <c r="BT4">
        <v>5083</v>
      </c>
      <c r="BU4" t="s">
        <v>141</v>
      </c>
      <c r="BV4" t="s">
        <v>142</v>
      </c>
      <c r="BW4">
        <v>2</v>
      </c>
      <c r="BY4">
        <v>-1</v>
      </c>
    </row>
    <row r="5" spans="1:77">
      <c r="A5" t="s">
        <v>143</v>
      </c>
      <c r="B5" t="s">
        <v>95</v>
      </c>
      <c r="C5" s="9">
        <v>41855</v>
      </c>
      <c r="E5" t="s">
        <v>96</v>
      </c>
      <c r="F5" t="s">
        <v>97</v>
      </c>
      <c r="G5" t="s">
        <v>98</v>
      </c>
      <c r="H5" t="s">
        <v>99</v>
      </c>
      <c r="I5" t="s">
        <v>100</v>
      </c>
      <c r="J5" t="s">
        <v>101</v>
      </c>
      <c r="K5" t="s">
        <v>102</v>
      </c>
      <c r="L5" t="s">
        <v>103</v>
      </c>
      <c r="M5" t="s">
        <v>130</v>
      </c>
      <c r="N5" t="s">
        <v>144</v>
      </c>
      <c r="O5" t="s">
        <v>100</v>
      </c>
      <c r="P5" t="s">
        <v>103</v>
      </c>
      <c r="Q5" t="s">
        <v>102</v>
      </c>
      <c r="R5" t="s">
        <v>108</v>
      </c>
      <c r="S5" t="s">
        <v>101</v>
      </c>
      <c r="T5" t="s">
        <v>105</v>
      </c>
      <c r="U5" t="s">
        <v>100</v>
      </c>
      <c r="V5" t="s">
        <v>108</v>
      </c>
      <c r="W5" t="s">
        <v>102</v>
      </c>
      <c r="X5" t="s">
        <v>109</v>
      </c>
      <c r="Y5" t="s">
        <v>103</v>
      </c>
      <c r="Z5" t="s">
        <v>107</v>
      </c>
      <c r="AA5" t="s">
        <v>100</v>
      </c>
      <c r="AB5" t="s">
        <v>110</v>
      </c>
      <c r="AC5" t="s">
        <v>102</v>
      </c>
      <c r="AD5" t="s">
        <v>111</v>
      </c>
      <c r="AE5" t="s">
        <v>109</v>
      </c>
      <c r="AF5" t="s">
        <v>108</v>
      </c>
      <c r="AG5" t="s">
        <v>112</v>
      </c>
      <c r="AI5" t="s">
        <v>113</v>
      </c>
      <c r="AK5">
        <v>1</v>
      </c>
      <c r="AM5" t="s">
        <v>145</v>
      </c>
      <c r="AO5" t="s">
        <v>132</v>
      </c>
      <c r="AQ5" t="s">
        <v>146</v>
      </c>
      <c r="AT5" t="s">
        <v>116</v>
      </c>
      <c r="AU5" t="s">
        <v>102</v>
      </c>
      <c r="BI5" t="s">
        <v>147</v>
      </c>
      <c r="BJ5" t="s">
        <v>148</v>
      </c>
      <c r="BK5" t="s">
        <v>149</v>
      </c>
      <c r="BL5" t="s">
        <v>120</v>
      </c>
      <c r="BM5" t="s">
        <v>139</v>
      </c>
      <c r="BN5" t="s">
        <v>122</v>
      </c>
      <c r="BO5" t="s">
        <v>95</v>
      </c>
      <c r="BR5" t="s">
        <v>123</v>
      </c>
      <c r="BS5" t="s">
        <v>150</v>
      </c>
      <c r="BT5">
        <v>5110</v>
      </c>
      <c r="BU5" t="s">
        <v>151</v>
      </c>
      <c r="BV5" t="s">
        <v>152</v>
      </c>
      <c r="BW5">
        <v>3</v>
      </c>
      <c r="BY5">
        <v>-1</v>
      </c>
    </row>
    <row r="6" spans="1:77">
      <c r="A6" t="s">
        <v>153</v>
      </c>
      <c r="B6" t="s">
        <v>95</v>
      </c>
      <c r="C6" s="9">
        <v>41856</v>
      </c>
      <c r="E6" t="s">
        <v>96</v>
      </c>
      <c r="F6" t="s">
        <v>97</v>
      </c>
      <c r="G6" t="s">
        <v>98</v>
      </c>
      <c r="H6" t="s">
        <v>99</v>
      </c>
      <c r="I6" t="s">
        <v>154</v>
      </c>
      <c r="J6" t="s">
        <v>108</v>
      </c>
      <c r="K6" t="s">
        <v>155</v>
      </c>
      <c r="L6" t="s">
        <v>109</v>
      </c>
      <c r="M6" t="s">
        <v>156</v>
      </c>
      <c r="N6" t="s">
        <v>103</v>
      </c>
      <c r="O6" t="s">
        <v>154</v>
      </c>
      <c r="P6" t="s">
        <v>157</v>
      </c>
      <c r="Q6" t="s">
        <v>155</v>
      </c>
      <c r="R6" t="s">
        <v>110</v>
      </c>
      <c r="S6" t="s">
        <v>156</v>
      </c>
      <c r="T6" t="s">
        <v>106</v>
      </c>
      <c r="U6" t="s">
        <v>154</v>
      </c>
      <c r="V6" t="s">
        <v>158</v>
      </c>
      <c r="W6" t="s">
        <v>155</v>
      </c>
      <c r="X6" t="s">
        <v>130</v>
      </c>
      <c r="Y6" t="s">
        <v>156</v>
      </c>
      <c r="Z6" t="s">
        <v>144</v>
      </c>
      <c r="AA6" t="s">
        <v>154</v>
      </c>
      <c r="AB6" t="s">
        <v>106</v>
      </c>
      <c r="AC6" t="s">
        <v>155</v>
      </c>
      <c r="AD6" t="s">
        <v>159</v>
      </c>
      <c r="AE6" t="s">
        <v>156</v>
      </c>
      <c r="AF6" t="s">
        <v>103</v>
      </c>
      <c r="AG6" t="s">
        <v>104</v>
      </c>
      <c r="AI6" t="s">
        <v>160</v>
      </c>
      <c r="AK6">
        <v>1</v>
      </c>
      <c r="AM6" t="s">
        <v>161</v>
      </c>
      <c r="AO6" t="s">
        <v>162</v>
      </c>
      <c r="AQ6" t="s">
        <v>163</v>
      </c>
      <c r="AT6" t="s">
        <v>116</v>
      </c>
      <c r="BI6" t="s">
        <v>164</v>
      </c>
      <c r="BJ6" t="s">
        <v>165</v>
      </c>
      <c r="BK6" t="s">
        <v>166</v>
      </c>
      <c r="BL6" t="s">
        <v>120</v>
      </c>
      <c r="BM6" t="s">
        <v>167</v>
      </c>
      <c r="BN6" t="s">
        <v>122</v>
      </c>
      <c r="BO6" t="s">
        <v>168</v>
      </c>
      <c r="BR6" t="s">
        <v>123</v>
      </c>
      <c r="BS6" t="s">
        <v>169</v>
      </c>
      <c r="BT6">
        <v>5111</v>
      </c>
      <c r="BU6" t="s">
        <v>170</v>
      </c>
      <c r="BV6" t="s">
        <v>152</v>
      </c>
      <c r="BW6">
        <v>4</v>
      </c>
      <c r="BY6">
        <v>-1</v>
      </c>
    </row>
    <row r="7" spans="1:77" hidden="1">
      <c r="A7" t="s">
        <v>171</v>
      </c>
      <c r="B7" t="s">
        <v>168</v>
      </c>
      <c r="C7" s="9">
        <v>41857</v>
      </c>
      <c r="E7" t="s">
        <v>172</v>
      </c>
      <c r="F7" t="s">
        <v>97</v>
      </c>
      <c r="G7" t="s">
        <v>98</v>
      </c>
      <c r="H7" t="s">
        <v>99</v>
      </c>
      <c r="I7" t="s">
        <v>173</v>
      </c>
      <c r="J7" t="s">
        <v>129</v>
      </c>
      <c r="K7" t="s">
        <v>156</v>
      </c>
      <c r="L7" t="s">
        <v>144</v>
      </c>
      <c r="M7" t="s">
        <v>174</v>
      </c>
      <c r="N7" t="s">
        <v>102</v>
      </c>
      <c r="O7" t="s">
        <v>173</v>
      </c>
      <c r="P7" t="s">
        <v>130</v>
      </c>
      <c r="Q7" t="s">
        <v>156</v>
      </c>
      <c r="R7" t="s">
        <v>105</v>
      </c>
      <c r="S7" t="s">
        <v>174</v>
      </c>
      <c r="T7" t="s">
        <v>144</v>
      </c>
      <c r="U7" t="s">
        <v>173</v>
      </c>
      <c r="V7" t="s">
        <v>175</v>
      </c>
      <c r="W7" t="s">
        <v>156</v>
      </c>
      <c r="X7" t="s">
        <v>101</v>
      </c>
      <c r="Y7" t="s">
        <v>174</v>
      </c>
      <c r="Z7" t="s">
        <v>105</v>
      </c>
      <c r="AA7" t="s">
        <v>173</v>
      </c>
      <c r="AB7" t="s">
        <v>144</v>
      </c>
      <c r="AC7" t="s">
        <v>156</v>
      </c>
      <c r="AD7" t="s">
        <v>176</v>
      </c>
      <c r="AE7" t="s">
        <v>174</v>
      </c>
      <c r="AF7" t="s">
        <v>129</v>
      </c>
      <c r="AG7" t="s">
        <v>174</v>
      </c>
      <c r="AI7" t="s">
        <v>177</v>
      </c>
      <c r="AK7">
        <v>1</v>
      </c>
      <c r="AM7" t="s">
        <v>178</v>
      </c>
      <c r="AO7" t="s">
        <v>179</v>
      </c>
      <c r="AQ7" t="s">
        <v>180</v>
      </c>
      <c r="AT7" t="s">
        <v>116</v>
      </c>
      <c r="BI7" t="s">
        <v>181</v>
      </c>
      <c r="BJ7" t="s">
        <v>182</v>
      </c>
      <c r="BK7" t="s">
        <v>183</v>
      </c>
      <c r="BL7" t="s">
        <v>120</v>
      </c>
      <c r="BM7" t="s">
        <v>184</v>
      </c>
      <c r="BN7" t="s">
        <v>185</v>
      </c>
      <c r="BO7" t="s">
        <v>168</v>
      </c>
      <c r="BR7" t="s">
        <v>123</v>
      </c>
      <c r="BS7" t="s">
        <v>186</v>
      </c>
      <c r="BT7">
        <v>5112</v>
      </c>
      <c r="BU7" t="s">
        <v>187</v>
      </c>
      <c r="BV7" t="s">
        <v>188</v>
      </c>
      <c r="BW7">
        <v>5</v>
      </c>
      <c r="BY7">
        <v>-1</v>
      </c>
    </row>
    <row r="8" spans="1:77" hidden="1">
      <c r="A8" t="s">
        <v>189</v>
      </c>
      <c r="B8" t="s">
        <v>168</v>
      </c>
      <c r="C8" s="9">
        <v>41858</v>
      </c>
      <c r="E8" t="s">
        <v>172</v>
      </c>
      <c r="F8" t="s">
        <v>97</v>
      </c>
      <c r="G8" t="s">
        <v>98</v>
      </c>
      <c r="H8" t="s">
        <v>99</v>
      </c>
      <c r="I8" t="s">
        <v>190</v>
      </c>
      <c r="J8" t="s">
        <v>102</v>
      </c>
      <c r="K8" t="s">
        <v>191</v>
      </c>
      <c r="L8" t="s">
        <v>191</v>
      </c>
      <c r="M8" t="s">
        <v>156</v>
      </c>
      <c r="N8" t="s">
        <v>104</v>
      </c>
      <c r="O8" t="s">
        <v>190</v>
      </c>
      <c r="P8" t="s">
        <v>158</v>
      </c>
      <c r="Q8" t="s">
        <v>191</v>
      </c>
      <c r="R8" t="s">
        <v>176</v>
      </c>
      <c r="S8" t="s">
        <v>102</v>
      </c>
      <c r="T8" t="s">
        <v>192</v>
      </c>
      <c r="U8" t="s">
        <v>190</v>
      </c>
      <c r="V8" t="s">
        <v>193</v>
      </c>
      <c r="W8" t="s">
        <v>191</v>
      </c>
      <c r="X8" t="s">
        <v>129</v>
      </c>
      <c r="Y8" t="s">
        <v>174</v>
      </c>
      <c r="Z8" t="s">
        <v>104</v>
      </c>
      <c r="AA8" t="s">
        <v>190</v>
      </c>
      <c r="AB8" t="s">
        <v>144</v>
      </c>
      <c r="AC8" t="s">
        <v>156</v>
      </c>
      <c r="AD8" t="s">
        <v>176</v>
      </c>
      <c r="AE8" t="s">
        <v>104</v>
      </c>
      <c r="AF8" t="s">
        <v>144</v>
      </c>
      <c r="AG8" t="s">
        <v>191</v>
      </c>
      <c r="AI8" t="s">
        <v>194</v>
      </c>
      <c r="AK8">
        <v>1</v>
      </c>
      <c r="AM8" t="s">
        <v>195</v>
      </c>
      <c r="AO8" t="s">
        <v>196</v>
      </c>
      <c r="AQ8" t="s">
        <v>197</v>
      </c>
      <c r="AT8" t="s">
        <v>116</v>
      </c>
      <c r="BI8" t="s">
        <v>198</v>
      </c>
      <c r="BJ8" t="s">
        <v>199</v>
      </c>
      <c r="BK8" t="s">
        <v>200</v>
      </c>
      <c r="BL8" t="s">
        <v>120</v>
      </c>
      <c r="BM8" t="s">
        <v>184</v>
      </c>
      <c r="BN8" t="s">
        <v>97</v>
      </c>
      <c r="BO8" t="s">
        <v>168</v>
      </c>
      <c r="BR8" t="s">
        <v>123</v>
      </c>
      <c r="BS8" t="s">
        <v>201</v>
      </c>
      <c r="BT8">
        <v>5113</v>
      </c>
      <c r="BU8" t="s">
        <v>202</v>
      </c>
      <c r="BV8" t="s">
        <v>188</v>
      </c>
      <c r="BW8">
        <v>6</v>
      </c>
      <c r="BY8">
        <v>-1</v>
      </c>
    </row>
    <row r="9" spans="1:77" hidden="1">
      <c r="A9" t="s">
        <v>203</v>
      </c>
      <c r="B9" t="s">
        <v>168</v>
      </c>
      <c r="C9" s="9">
        <v>41859</v>
      </c>
      <c r="E9" t="s">
        <v>172</v>
      </c>
      <c r="F9" t="s">
        <v>97</v>
      </c>
      <c r="G9" t="s">
        <v>98</v>
      </c>
      <c r="H9" t="s">
        <v>99</v>
      </c>
      <c r="I9" t="s">
        <v>154</v>
      </c>
      <c r="J9" t="s">
        <v>102</v>
      </c>
      <c r="K9" t="s">
        <v>204</v>
      </c>
      <c r="L9" t="s">
        <v>191</v>
      </c>
      <c r="M9" t="s">
        <v>104</v>
      </c>
      <c r="N9" t="s">
        <v>104</v>
      </c>
      <c r="O9" t="s">
        <v>154</v>
      </c>
      <c r="P9" t="s">
        <v>102</v>
      </c>
      <c r="Q9" t="s">
        <v>204</v>
      </c>
      <c r="R9" t="s">
        <v>156</v>
      </c>
      <c r="S9" t="s">
        <v>104</v>
      </c>
      <c r="T9" t="s">
        <v>104</v>
      </c>
      <c r="U9" t="s">
        <v>154</v>
      </c>
      <c r="V9" t="s">
        <v>144</v>
      </c>
      <c r="W9" t="s">
        <v>204</v>
      </c>
      <c r="X9" t="s">
        <v>176</v>
      </c>
      <c r="Y9" t="s">
        <v>104</v>
      </c>
      <c r="Z9" t="s">
        <v>104</v>
      </c>
      <c r="AA9" t="s">
        <v>154</v>
      </c>
      <c r="AB9" t="s">
        <v>130</v>
      </c>
      <c r="AC9" t="s">
        <v>204</v>
      </c>
      <c r="AD9" t="s">
        <v>205</v>
      </c>
      <c r="AE9" t="s">
        <v>104</v>
      </c>
      <c r="AF9" t="s">
        <v>104</v>
      </c>
      <c r="AG9" t="s">
        <v>104</v>
      </c>
      <c r="AI9" t="s">
        <v>206</v>
      </c>
      <c r="AK9">
        <v>1</v>
      </c>
      <c r="AM9" t="s">
        <v>195</v>
      </c>
      <c r="AO9" t="s">
        <v>110</v>
      </c>
      <c r="AQ9" t="s">
        <v>110</v>
      </c>
      <c r="AT9" t="s">
        <v>116</v>
      </c>
      <c r="BI9" t="s">
        <v>207</v>
      </c>
      <c r="BJ9" t="s">
        <v>208</v>
      </c>
      <c r="BK9" t="s">
        <v>209</v>
      </c>
      <c r="BL9" t="s">
        <v>120</v>
      </c>
      <c r="BM9" t="s">
        <v>210</v>
      </c>
      <c r="BN9" t="s">
        <v>185</v>
      </c>
      <c r="BO9" t="s">
        <v>168</v>
      </c>
      <c r="BR9" t="s">
        <v>123</v>
      </c>
      <c r="BS9" t="s">
        <v>211</v>
      </c>
      <c r="BT9">
        <v>5114</v>
      </c>
      <c r="BU9" t="s">
        <v>212</v>
      </c>
      <c r="BV9" t="s">
        <v>213</v>
      </c>
      <c r="BW9">
        <v>7</v>
      </c>
      <c r="BY9">
        <v>-1</v>
      </c>
    </row>
    <row r="10" spans="1:77" hidden="1">
      <c r="A10" t="s">
        <v>214</v>
      </c>
      <c r="B10" t="s">
        <v>168</v>
      </c>
      <c r="C10" s="9">
        <v>41860</v>
      </c>
      <c r="E10" t="s">
        <v>215</v>
      </c>
      <c r="F10" t="s">
        <v>97</v>
      </c>
      <c r="G10" t="s">
        <v>98</v>
      </c>
      <c r="H10" t="s">
        <v>99</v>
      </c>
      <c r="I10" t="s">
        <v>128</v>
      </c>
      <c r="J10" t="s">
        <v>102</v>
      </c>
      <c r="K10" t="s">
        <v>204</v>
      </c>
      <c r="L10" t="s">
        <v>156</v>
      </c>
      <c r="M10" t="s">
        <v>104</v>
      </c>
      <c r="N10" t="s">
        <v>104</v>
      </c>
      <c r="O10" t="s">
        <v>128</v>
      </c>
      <c r="P10" t="s">
        <v>144</v>
      </c>
      <c r="Q10" t="s">
        <v>204</v>
      </c>
      <c r="R10" t="s">
        <v>158</v>
      </c>
      <c r="S10" t="s">
        <v>104</v>
      </c>
      <c r="T10" t="s">
        <v>104</v>
      </c>
      <c r="U10" t="s">
        <v>128</v>
      </c>
      <c r="V10" t="s">
        <v>130</v>
      </c>
      <c r="AA10" t="s">
        <v>128</v>
      </c>
      <c r="AB10" t="s">
        <v>102</v>
      </c>
      <c r="AC10" t="s">
        <v>204</v>
      </c>
      <c r="AD10" t="s">
        <v>191</v>
      </c>
      <c r="AE10" t="s">
        <v>104</v>
      </c>
      <c r="AF10" t="s">
        <v>104</v>
      </c>
      <c r="AG10" t="s">
        <v>131</v>
      </c>
      <c r="AI10" t="s">
        <v>206</v>
      </c>
      <c r="AK10">
        <v>1</v>
      </c>
      <c r="AT10" t="s">
        <v>116</v>
      </c>
      <c r="BI10" t="s">
        <v>216</v>
      </c>
      <c r="BJ10" t="s">
        <v>217</v>
      </c>
      <c r="BK10" t="s">
        <v>218</v>
      </c>
      <c r="BL10" t="s">
        <v>120</v>
      </c>
      <c r="BM10" t="s">
        <v>219</v>
      </c>
      <c r="BN10" t="s">
        <v>185</v>
      </c>
      <c r="BO10" t="s">
        <v>168</v>
      </c>
      <c r="BR10" t="s">
        <v>123</v>
      </c>
      <c r="BS10" t="s">
        <v>220</v>
      </c>
      <c r="BT10">
        <v>5115</v>
      </c>
      <c r="BU10" t="s">
        <v>221</v>
      </c>
      <c r="BV10" t="s">
        <v>222</v>
      </c>
      <c r="BW10">
        <v>8</v>
      </c>
      <c r="BY10">
        <v>-1</v>
      </c>
    </row>
    <row r="11" spans="1:77" hidden="1">
      <c r="A11" t="s">
        <v>223</v>
      </c>
      <c r="B11" t="s">
        <v>168</v>
      </c>
      <c r="C11" s="9">
        <v>41862</v>
      </c>
      <c r="E11" t="s">
        <v>215</v>
      </c>
      <c r="F11" t="s">
        <v>97</v>
      </c>
      <c r="G11" t="s">
        <v>98</v>
      </c>
      <c r="H11" t="s">
        <v>99</v>
      </c>
      <c r="I11" t="s">
        <v>224</v>
      </c>
      <c r="J11" t="s">
        <v>193</v>
      </c>
      <c r="K11" t="s">
        <v>102</v>
      </c>
      <c r="L11" t="s">
        <v>191</v>
      </c>
      <c r="M11" t="s">
        <v>104</v>
      </c>
      <c r="N11" t="s">
        <v>104</v>
      </c>
      <c r="O11" t="s">
        <v>224</v>
      </c>
      <c r="P11" t="s">
        <v>129</v>
      </c>
      <c r="Q11" t="s">
        <v>204</v>
      </c>
      <c r="R11" t="s">
        <v>225</v>
      </c>
      <c r="S11" t="s">
        <v>104</v>
      </c>
      <c r="T11" t="s">
        <v>104</v>
      </c>
      <c r="U11" t="s">
        <v>224</v>
      </c>
      <c r="V11" t="s">
        <v>226</v>
      </c>
      <c r="W11" t="s">
        <v>204</v>
      </c>
      <c r="X11" t="s">
        <v>191</v>
      </c>
      <c r="Y11" t="s">
        <v>226</v>
      </c>
      <c r="Z11" t="s">
        <v>104</v>
      </c>
      <c r="AA11" t="s">
        <v>224</v>
      </c>
      <c r="AB11" t="s">
        <v>174</v>
      </c>
      <c r="AC11" t="s">
        <v>204</v>
      </c>
      <c r="AD11" t="s">
        <v>102</v>
      </c>
      <c r="AE11" t="s">
        <v>227</v>
      </c>
      <c r="AF11" t="s">
        <v>104</v>
      </c>
      <c r="AG11" t="s">
        <v>228</v>
      </c>
      <c r="AI11" t="s">
        <v>229</v>
      </c>
      <c r="AK11">
        <v>1</v>
      </c>
      <c r="AM11" t="s">
        <v>230</v>
      </c>
      <c r="AO11" t="s">
        <v>231</v>
      </c>
      <c r="AQ11" t="s">
        <v>110</v>
      </c>
      <c r="AT11" t="s">
        <v>116</v>
      </c>
      <c r="BI11" t="s">
        <v>232</v>
      </c>
      <c r="BJ11" t="s">
        <v>233</v>
      </c>
      <c r="BK11" t="s">
        <v>234</v>
      </c>
      <c r="BL11" t="s">
        <v>120</v>
      </c>
      <c r="BM11" t="s">
        <v>219</v>
      </c>
      <c r="BN11" t="s">
        <v>235</v>
      </c>
      <c r="BO11" t="s">
        <v>168</v>
      </c>
      <c r="BR11" t="s">
        <v>123</v>
      </c>
      <c r="BS11" t="s">
        <v>236</v>
      </c>
      <c r="BT11">
        <v>5116</v>
      </c>
      <c r="BU11" t="s">
        <v>237</v>
      </c>
      <c r="BV11" t="s">
        <v>222</v>
      </c>
      <c r="BW11">
        <v>9</v>
      </c>
      <c r="BY11">
        <v>-1</v>
      </c>
    </row>
    <row r="12" spans="1:77" hidden="1">
      <c r="A12" t="s">
        <v>238</v>
      </c>
      <c r="B12" t="s">
        <v>168</v>
      </c>
      <c r="C12" s="9">
        <v>41863</v>
      </c>
      <c r="E12" t="s">
        <v>215</v>
      </c>
      <c r="F12" t="s">
        <v>97</v>
      </c>
      <c r="G12" t="s">
        <v>98</v>
      </c>
      <c r="H12" t="s">
        <v>99</v>
      </c>
      <c r="I12" t="s">
        <v>224</v>
      </c>
      <c r="J12" t="s">
        <v>156</v>
      </c>
      <c r="K12" t="s">
        <v>102</v>
      </c>
      <c r="L12" t="s">
        <v>191</v>
      </c>
      <c r="M12" t="s">
        <v>204</v>
      </c>
      <c r="N12" t="s">
        <v>104</v>
      </c>
      <c r="O12" t="s">
        <v>224</v>
      </c>
      <c r="P12" t="s">
        <v>192</v>
      </c>
      <c r="Q12" t="s">
        <v>102</v>
      </c>
      <c r="R12" t="s">
        <v>144</v>
      </c>
      <c r="S12" t="s">
        <v>204</v>
      </c>
      <c r="T12" t="s">
        <v>104</v>
      </c>
      <c r="U12" t="s">
        <v>224</v>
      </c>
      <c r="V12" t="s">
        <v>156</v>
      </c>
      <c r="W12" t="s">
        <v>102</v>
      </c>
      <c r="X12" t="s">
        <v>156</v>
      </c>
      <c r="Y12" t="s">
        <v>204</v>
      </c>
      <c r="Z12" t="s">
        <v>104</v>
      </c>
      <c r="AA12" t="s">
        <v>224</v>
      </c>
      <c r="AB12" t="s">
        <v>144</v>
      </c>
      <c r="AC12" t="s">
        <v>156</v>
      </c>
      <c r="AD12" t="s">
        <v>158</v>
      </c>
      <c r="AE12" t="s">
        <v>204</v>
      </c>
      <c r="AF12" t="s">
        <v>104</v>
      </c>
      <c r="AG12" t="s">
        <v>228</v>
      </c>
      <c r="AI12" t="s">
        <v>239</v>
      </c>
      <c r="AK12">
        <v>1</v>
      </c>
      <c r="AM12" t="s">
        <v>206</v>
      </c>
      <c r="AO12" t="s">
        <v>240</v>
      </c>
      <c r="AQ12" t="s">
        <v>110</v>
      </c>
      <c r="AT12" t="s">
        <v>116</v>
      </c>
      <c r="BI12" t="s">
        <v>241</v>
      </c>
      <c r="BJ12" t="s">
        <v>242</v>
      </c>
      <c r="BK12" t="s">
        <v>243</v>
      </c>
      <c r="BL12" t="s">
        <v>120</v>
      </c>
      <c r="BM12" t="s">
        <v>244</v>
      </c>
      <c r="BN12" t="s">
        <v>235</v>
      </c>
      <c r="BO12" t="s">
        <v>168</v>
      </c>
      <c r="BR12" t="s">
        <v>123</v>
      </c>
      <c r="BS12" t="s">
        <v>245</v>
      </c>
      <c r="BT12">
        <v>5117</v>
      </c>
      <c r="BU12" t="s">
        <v>246</v>
      </c>
      <c r="BV12" t="s">
        <v>247</v>
      </c>
      <c r="BW12">
        <v>10</v>
      </c>
      <c r="BY12">
        <v>-1</v>
      </c>
    </row>
    <row r="13" spans="1:77" hidden="1">
      <c r="A13" t="s">
        <v>248</v>
      </c>
      <c r="B13" t="s">
        <v>168</v>
      </c>
      <c r="C13" s="9">
        <v>41864</v>
      </c>
      <c r="E13" t="s">
        <v>249</v>
      </c>
      <c r="F13" t="s">
        <v>97</v>
      </c>
      <c r="G13" t="s">
        <v>98</v>
      </c>
      <c r="H13" t="s">
        <v>99</v>
      </c>
      <c r="I13" t="s">
        <v>128</v>
      </c>
      <c r="J13" t="s">
        <v>144</v>
      </c>
      <c r="K13" t="s">
        <v>102</v>
      </c>
      <c r="L13" t="s">
        <v>144</v>
      </c>
      <c r="M13" t="s">
        <v>102</v>
      </c>
      <c r="N13" t="s">
        <v>174</v>
      </c>
      <c r="O13" t="s">
        <v>128</v>
      </c>
      <c r="P13" t="s">
        <v>156</v>
      </c>
      <c r="Q13" t="s">
        <v>102</v>
      </c>
      <c r="R13" t="s">
        <v>191</v>
      </c>
      <c r="S13" t="s">
        <v>102</v>
      </c>
      <c r="T13" t="s">
        <v>204</v>
      </c>
      <c r="U13" t="s">
        <v>128</v>
      </c>
      <c r="V13" t="s">
        <v>205</v>
      </c>
      <c r="W13" t="s">
        <v>102</v>
      </c>
      <c r="X13" t="s">
        <v>250</v>
      </c>
      <c r="Y13" t="s">
        <v>204</v>
      </c>
      <c r="Z13" t="s">
        <v>130</v>
      </c>
      <c r="AA13" t="s">
        <v>128</v>
      </c>
      <c r="AB13" t="s">
        <v>225</v>
      </c>
      <c r="AC13" t="s">
        <v>102</v>
      </c>
      <c r="AD13" t="s">
        <v>251</v>
      </c>
      <c r="AE13" t="s">
        <v>204</v>
      </c>
      <c r="AF13" t="s">
        <v>129</v>
      </c>
      <c r="AG13" t="s">
        <v>131</v>
      </c>
      <c r="AI13" t="s">
        <v>180</v>
      </c>
      <c r="AK13">
        <v>1</v>
      </c>
      <c r="AM13" t="s">
        <v>252</v>
      </c>
      <c r="AO13" t="s">
        <v>179</v>
      </c>
      <c r="AQ13" t="s">
        <v>253</v>
      </c>
      <c r="AT13" t="s">
        <v>116</v>
      </c>
      <c r="BI13" t="s">
        <v>254</v>
      </c>
      <c r="BJ13" t="s">
        <v>255</v>
      </c>
      <c r="BK13" t="s">
        <v>256</v>
      </c>
      <c r="BL13" t="s">
        <v>120</v>
      </c>
      <c r="BM13" t="s">
        <v>257</v>
      </c>
      <c r="BN13" t="s">
        <v>258</v>
      </c>
      <c r="BO13" t="s">
        <v>259</v>
      </c>
      <c r="BR13" t="s">
        <v>123</v>
      </c>
      <c r="BS13" t="s">
        <v>260</v>
      </c>
      <c r="BT13">
        <v>5118</v>
      </c>
      <c r="BU13" t="s">
        <v>261</v>
      </c>
      <c r="BV13" t="s">
        <v>247</v>
      </c>
      <c r="BW13">
        <v>11</v>
      </c>
      <c r="BY13">
        <v>-1</v>
      </c>
    </row>
    <row r="14" spans="1:77" hidden="1">
      <c r="A14" t="s">
        <v>262</v>
      </c>
      <c r="B14" t="s">
        <v>168</v>
      </c>
      <c r="C14" s="9">
        <v>41865</v>
      </c>
      <c r="E14" t="s">
        <v>249</v>
      </c>
      <c r="F14" t="s">
        <v>97</v>
      </c>
      <c r="G14" t="s">
        <v>98</v>
      </c>
      <c r="H14" t="s">
        <v>99</v>
      </c>
      <c r="I14" t="s">
        <v>112</v>
      </c>
      <c r="J14" t="s">
        <v>102</v>
      </c>
      <c r="K14" t="s">
        <v>174</v>
      </c>
      <c r="L14" t="s">
        <v>156</v>
      </c>
      <c r="M14" t="s">
        <v>104</v>
      </c>
      <c r="N14" t="s">
        <v>204</v>
      </c>
      <c r="O14" t="s">
        <v>112</v>
      </c>
      <c r="P14" t="s">
        <v>191</v>
      </c>
      <c r="Q14" t="s">
        <v>174</v>
      </c>
      <c r="R14" t="s">
        <v>129</v>
      </c>
      <c r="S14" t="s">
        <v>102</v>
      </c>
      <c r="T14" t="s">
        <v>102</v>
      </c>
      <c r="U14" t="s">
        <v>112</v>
      </c>
      <c r="V14" t="s">
        <v>130</v>
      </c>
      <c r="W14" t="s">
        <v>174</v>
      </c>
      <c r="X14" t="s">
        <v>205</v>
      </c>
      <c r="Y14" t="s">
        <v>204</v>
      </c>
      <c r="Z14" t="s">
        <v>104</v>
      </c>
      <c r="AA14" t="s">
        <v>112</v>
      </c>
      <c r="AB14" t="s">
        <v>175</v>
      </c>
      <c r="AC14" t="s">
        <v>156</v>
      </c>
      <c r="AD14" t="s">
        <v>101</v>
      </c>
      <c r="AE14" t="s">
        <v>204</v>
      </c>
      <c r="AF14" t="s">
        <v>104</v>
      </c>
      <c r="AG14" t="s">
        <v>263</v>
      </c>
      <c r="AI14" t="s">
        <v>264</v>
      </c>
      <c r="AK14">
        <v>1</v>
      </c>
      <c r="AM14" t="s">
        <v>265</v>
      </c>
      <c r="AO14" t="s">
        <v>266</v>
      </c>
      <c r="AQ14" t="s">
        <v>267</v>
      </c>
      <c r="AT14" t="s">
        <v>116</v>
      </c>
      <c r="BI14" t="s">
        <v>268</v>
      </c>
      <c r="BJ14" t="s">
        <v>269</v>
      </c>
      <c r="BK14" t="s">
        <v>270</v>
      </c>
      <c r="BL14" t="s">
        <v>120</v>
      </c>
      <c r="BM14" t="s">
        <v>184</v>
      </c>
      <c r="BN14" t="s">
        <v>258</v>
      </c>
      <c r="BO14" t="s">
        <v>259</v>
      </c>
      <c r="BR14" t="s">
        <v>123</v>
      </c>
      <c r="BS14" t="s">
        <v>271</v>
      </c>
      <c r="BT14">
        <v>5119</v>
      </c>
      <c r="BU14" t="s">
        <v>272</v>
      </c>
      <c r="BV14" t="s">
        <v>273</v>
      </c>
      <c r="BW14">
        <v>12</v>
      </c>
      <c r="BY14">
        <v>-1</v>
      </c>
    </row>
    <row r="15" spans="1:77" hidden="1">
      <c r="A15" t="s">
        <v>274</v>
      </c>
      <c r="B15" t="s">
        <v>168</v>
      </c>
      <c r="C15" s="9">
        <v>41866</v>
      </c>
      <c r="E15" t="s">
        <v>249</v>
      </c>
      <c r="F15" t="s">
        <v>97</v>
      </c>
      <c r="G15" t="s">
        <v>98</v>
      </c>
      <c r="H15" t="s">
        <v>99</v>
      </c>
      <c r="I15" t="s">
        <v>128</v>
      </c>
      <c r="J15" t="s">
        <v>156</v>
      </c>
      <c r="K15" t="s">
        <v>102</v>
      </c>
      <c r="L15" t="s">
        <v>191</v>
      </c>
      <c r="M15" t="s">
        <v>174</v>
      </c>
      <c r="N15" t="s">
        <v>104</v>
      </c>
      <c r="O15" t="s">
        <v>128</v>
      </c>
      <c r="P15" t="s">
        <v>158</v>
      </c>
      <c r="Q15" t="s">
        <v>156</v>
      </c>
      <c r="R15" t="s">
        <v>176</v>
      </c>
      <c r="S15" t="s">
        <v>174</v>
      </c>
      <c r="T15" t="s">
        <v>102</v>
      </c>
      <c r="U15" t="s">
        <v>128</v>
      </c>
      <c r="V15" t="s">
        <v>158</v>
      </c>
      <c r="W15" t="s">
        <v>156</v>
      </c>
      <c r="X15" t="s">
        <v>176</v>
      </c>
      <c r="Y15" t="s">
        <v>102</v>
      </c>
      <c r="Z15" t="s">
        <v>104</v>
      </c>
      <c r="AA15" t="s">
        <v>128</v>
      </c>
      <c r="AB15" t="s">
        <v>144</v>
      </c>
      <c r="AC15" t="s">
        <v>102</v>
      </c>
      <c r="AD15" t="s">
        <v>144</v>
      </c>
      <c r="AE15" t="s">
        <v>129</v>
      </c>
      <c r="AF15" t="s">
        <v>102</v>
      </c>
      <c r="AG15" t="s">
        <v>131</v>
      </c>
      <c r="AI15" t="s">
        <v>275</v>
      </c>
      <c r="AK15">
        <v>1</v>
      </c>
      <c r="AM15" t="s">
        <v>276</v>
      </c>
      <c r="AO15" t="s">
        <v>277</v>
      </c>
      <c r="AQ15" t="s">
        <v>278</v>
      </c>
      <c r="AT15" t="s">
        <v>116</v>
      </c>
      <c r="BI15" t="s">
        <v>279</v>
      </c>
      <c r="BJ15" t="s">
        <v>280</v>
      </c>
      <c r="BK15" t="s">
        <v>281</v>
      </c>
      <c r="BL15" t="s">
        <v>120</v>
      </c>
      <c r="BM15" t="s">
        <v>210</v>
      </c>
      <c r="BN15" t="s">
        <v>258</v>
      </c>
      <c r="BO15" t="s">
        <v>259</v>
      </c>
      <c r="BR15" t="s">
        <v>123</v>
      </c>
      <c r="BS15" t="s">
        <v>282</v>
      </c>
      <c r="BT15">
        <v>5120</v>
      </c>
      <c r="BU15" t="s">
        <v>283</v>
      </c>
      <c r="BV15" t="s">
        <v>273</v>
      </c>
      <c r="BW15">
        <v>13</v>
      </c>
      <c r="BY15">
        <v>-1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1-7Report</vt:lpstr>
      <vt:lpstr>8-10Report</vt:lpstr>
      <vt:lpstr>cons-Report</vt:lpstr>
      <vt:lpstr>reportdata</vt:lpstr>
      <vt:lpstr>masterdata</vt:lpstr>
      <vt:lpstr>'1-7Report'!Print_Area</vt:lpstr>
      <vt:lpstr>'8-10Report'!Print_Area</vt:lpstr>
      <vt:lpstr>'cons-Report'!Print_Area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dgicollect</dc:creator>
  <cp:lastModifiedBy>Sudhir</cp:lastModifiedBy>
  <cp:lastPrinted>2014-09-02T06:15:51Z</cp:lastPrinted>
  <dcterms:created xsi:type="dcterms:W3CDTF">2014-08-21T09:35:41Z</dcterms:created>
  <dcterms:modified xsi:type="dcterms:W3CDTF">2014-09-02T06:16:28Z</dcterms:modified>
</cp:coreProperties>
</file>